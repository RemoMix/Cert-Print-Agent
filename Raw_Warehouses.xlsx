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2026\"/>
    </mc:Choice>
  </mc:AlternateContent>
  <xr:revisionPtr revIDLastSave="0" documentId="13_ncr:1_{B7B1D8A1-7292-4060-82D5-A2CC9CB5FC54}" xr6:coauthVersionLast="47" xr6:coauthVersionMax="47" xr10:uidLastSave="{00000000-0000-0000-0000-000000000000}"/>
  <bookViews>
    <workbookView xWindow="-120" yWindow="-120" windowWidth="21840" windowHeight="13140" tabRatio="582" xr2:uid="{6BB69F86-4888-483B-8C6D-6756F82F0AB9}"/>
  </bookViews>
  <sheets>
    <sheet name="2026" sheetId="7" r:id="rId1"/>
    <sheet name="2025" sheetId="6" r:id="rId2"/>
    <sheet name="2024" sheetId="5" r:id="rId3"/>
    <sheet name="2023" sheetId="4" r:id="rId4"/>
    <sheet name="List" sheetId="2" r:id="rId5"/>
    <sheet name="متبقى مرتجع شيح" sheetId="9" r:id="rId6"/>
    <sheet name="متبقى مرتجع بضائع" sheetId="10" r:id="rId7"/>
    <sheet name="Search Bar" sheetId="13" r:id="rId8"/>
  </sheets>
  <externalReferences>
    <externalReference r:id="rId9"/>
  </externalReferences>
  <definedNames>
    <definedName name="_xlnm._FilterDatabase" localSheetId="7" hidden="1">'Search Bar'!$A$9:$U$23</definedName>
    <definedName name="_xlnm._FilterDatabase" localSheetId="6" hidden="1">'متبقى مرتجع بضائع'!$A$2:$L$75</definedName>
    <definedName name="Analysis" localSheetId="7">Table14[Analysis]</definedName>
    <definedName name="Analysis">Table14[Analysis]</definedName>
    <definedName name="Packaging" localSheetId="7">Table7[Packaging]</definedName>
    <definedName name="Packaging">Table7[Packaging]</definedName>
    <definedName name="_xlnm.Print_Area" localSheetId="7">'Search Bar'!$A$1:$U$54</definedName>
    <definedName name="Product_Filter" localSheetId="7">_xlfn.IFNA(_xlfn.VSTACK( _xlfn._xlws.FILTER(Tbl_2023[],ISNUMBER(SEARCH('Search Bar'!$C$2,Tbl_2023[Product])),""), _xlfn._xlws.FILTER(Tbl_2024[],ISNUMBER(SEARCH('Search Bar'!$C$2,Tbl_2024[Product])),""), _xlfn._xlws.FILTER(Tbl_2025[],ISNUMBER(SEARCH('Search Bar'!$C$2,Tbl_2025[Product])),""), _xlfn._xlws.FILTER(Tbl_2026[],ISNUMBER(SEARCH('Search Bar'!$C$2,Tbl_2026[Product])),"") ),"")</definedName>
    <definedName name="Product_Filter">_xlfn.IFNA(_xlfn.VSTACK( _xlfn._xlws.FILTER(Tbl_2023[],ISNUMBER(SEARCH(#REF!,Tbl_2023[Product])),""), _xlfn._xlws.FILTER(Tbl_2024[],ISNUMBER(SEARCH(#REF!,Tbl_2024[Product])),""), _xlfn._xlws.FILTER(Tbl_2025[],ISNUMBER(SEARCH(#REF!,Tbl_2025[Product])),""), _xlfn._xlws.FILTER(Tbl_2026[],ISNUMBER(SEARCH(#REF!,Tbl_2026[Product])),"") ),"")</definedName>
    <definedName name="Products" localSheetId="7">Table3[Products]</definedName>
    <definedName name="Products">Table3[Products]</definedName>
    <definedName name="Spec" localSheetId="7">Table13[Spec]</definedName>
    <definedName name="Spec">Table13[Spec]</definedName>
    <definedName name="Status" localSheetId="7">Table15[Status]</definedName>
    <definedName name="Status">Table15[Status]</definedName>
    <definedName name="Suppliers" localSheetId="7">Table4[SupplierName]</definedName>
    <definedName name="Suppliers">Table4[SupplierName]</definedName>
    <definedName name="منصرف">[1]!Table7[الصرف]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9" i="10" l="1"/>
  <c r="H67" i="10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151" i="7"/>
  <c r="A152" i="7"/>
  <c r="A153" i="7"/>
  <c r="A154" i="7"/>
  <c r="A155" i="7"/>
  <c r="A156" i="7"/>
  <c r="A157" i="7"/>
  <c r="A158" i="7"/>
  <c r="A159" i="7"/>
  <c r="A160" i="7"/>
  <c r="A161" i="7"/>
  <c r="A162" i="7"/>
  <c r="A163" i="7"/>
  <c r="A164" i="7"/>
  <c r="A165" i="7"/>
  <c r="A166" i="7"/>
  <c r="A167" i="7"/>
  <c r="A168" i="7"/>
  <c r="A169" i="7"/>
  <c r="A170" i="7"/>
  <c r="A171" i="7"/>
  <c r="A172" i="7"/>
  <c r="A173" i="7"/>
  <c r="A174" i="7"/>
  <c r="A175" i="7"/>
  <c r="A176" i="7"/>
  <c r="A177" i="7"/>
  <c r="A178" i="7"/>
  <c r="A179" i="7"/>
  <c r="A180" i="7"/>
  <c r="A181" i="7"/>
  <c r="A182" i="7"/>
  <c r="A183" i="7"/>
  <c r="A184" i="7"/>
  <c r="A185" i="7"/>
  <c r="A186" i="7"/>
  <c r="A187" i="7"/>
  <c r="A188" i="7"/>
  <c r="A189" i="7"/>
  <c r="A190" i="7"/>
  <c r="A191" i="7"/>
  <c r="A192" i="7"/>
  <c r="A193" i="7"/>
  <c r="A194" i="7"/>
  <c r="A195" i="7"/>
  <c r="A196" i="7"/>
  <c r="A197" i="7"/>
  <c r="A198" i="7"/>
  <c r="A199" i="7"/>
  <c r="A200" i="7"/>
  <c r="A201" i="7"/>
  <c r="A202" i="7"/>
  <c r="A203" i="7"/>
  <c r="A204" i="7"/>
  <c r="A205" i="7"/>
  <c r="A206" i="7"/>
  <c r="A207" i="7"/>
  <c r="A208" i="7"/>
  <c r="A209" i="7"/>
  <c r="A210" i="7"/>
  <c r="A211" i="7"/>
  <c r="A212" i="7"/>
  <c r="A213" i="7"/>
  <c r="A214" i="7"/>
  <c r="A215" i="7"/>
  <c r="A216" i="7"/>
  <c r="A217" i="7"/>
  <c r="A218" i="7"/>
  <c r="A219" i="7"/>
  <c r="A220" i="7"/>
  <c r="A221" i="7"/>
  <c r="A222" i="7"/>
  <c r="A223" i="7"/>
  <c r="A224" i="7"/>
  <c r="A225" i="7"/>
  <c r="A226" i="7"/>
  <c r="A227" i="7"/>
  <c r="A228" i="7"/>
  <c r="A229" i="7"/>
  <c r="A230" i="7"/>
  <c r="A231" i="7"/>
  <c r="A232" i="7"/>
  <c r="A233" i="7"/>
  <c r="A234" i="7"/>
  <c r="A235" i="7"/>
  <c r="A236" i="7"/>
  <c r="A237" i="7"/>
  <c r="A238" i="7"/>
  <c r="A239" i="7"/>
  <c r="A240" i="7"/>
  <c r="A241" i="7"/>
  <c r="A242" i="7"/>
  <c r="A243" i="7"/>
  <c r="A244" i="7"/>
  <c r="A245" i="7"/>
  <c r="A246" i="7"/>
  <c r="A247" i="7"/>
  <c r="A248" i="7"/>
  <c r="A249" i="7"/>
  <c r="A250" i="7"/>
  <c r="A251" i="7"/>
  <c r="A252" i="7"/>
  <c r="A253" i="7"/>
  <c r="A254" i="7"/>
  <c r="A255" i="7"/>
  <c r="A256" i="7"/>
  <c r="A257" i="7"/>
  <c r="A258" i="7"/>
  <c r="A259" i="7"/>
  <c r="A260" i="7"/>
  <c r="A261" i="7"/>
  <c r="A262" i="7"/>
  <c r="A263" i="7"/>
  <c r="A264" i="7"/>
  <c r="A265" i="7"/>
  <c r="A266" i="7"/>
  <c r="A267" i="7"/>
  <c r="A268" i="7"/>
  <c r="A269" i="7"/>
  <c r="A270" i="7"/>
  <c r="A271" i="7"/>
  <c r="A272" i="7"/>
  <c r="A273" i="7"/>
  <c r="A274" i="7"/>
  <c r="A275" i="7"/>
  <c r="A276" i="7"/>
  <c r="A277" i="7"/>
  <c r="A278" i="7"/>
  <c r="A279" i="7"/>
  <c r="A280" i="7"/>
  <c r="A281" i="7"/>
  <c r="A282" i="7"/>
  <c r="A283" i="7"/>
  <c r="A284" i="7"/>
  <c r="A285" i="7"/>
  <c r="A286" i="7"/>
  <c r="A287" i="7"/>
  <c r="A288" i="7"/>
  <c r="A289" i="7"/>
  <c r="A290" i="7"/>
  <c r="A291" i="7"/>
  <c r="A292" i="7"/>
  <c r="A293" i="7"/>
  <c r="A294" i="7"/>
  <c r="A295" i="7"/>
  <c r="A296" i="7"/>
  <c r="A297" i="7"/>
  <c r="A298" i="7"/>
  <c r="A299" i="7"/>
  <c r="A300" i="7"/>
  <c r="A301" i="7"/>
  <c r="A302" i="7"/>
  <c r="A303" i="7"/>
  <c r="A304" i="7"/>
  <c r="A305" i="7"/>
  <c r="A306" i="7"/>
  <c r="A307" i="7"/>
  <c r="A308" i="7"/>
  <c r="A309" i="7"/>
  <c r="A310" i="7"/>
  <c r="A311" i="7"/>
  <c r="A312" i="7"/>
  <c r="A313" i="7"/>
  <c r="A314" i="7"/>
  <c r="A315" i="7"/>
  <c r="A316" i="7"/>
  <c r="A317" i="7"/>
  <c r="A318" i="7"/>
  <c r="A319" i="7"/>
  <c r="A320" i="7"/>
  <c r="A321" i="7"/>
  <c r="A322" i="7"/>
  <c r="A323" i="7"/>
  <c r="A324" i="7"/>
  <c r="A325" i="7"/>
  <c r="A326" i="7"/>
  <c r="A327" i="7"/>
  <c r="A328" i="7"/>
  <c r="A329" i="7"/>
  <c r="A330" i="7"/>
  <c r="A331" i="7"/>
  <c r="A332" i="7"/>
  <c r="A333" i="7"/>
  <c r="A334" i="7"/>
  <c r="A335" i="7"/>
  <c r="A336" i="7"/>
  <c r="A337" i="7"/>
  <c r="A338" i="7"/>
  <c r="A339" i="7"/>
  <c r="A340" i="7"/>
  <c r="A341" i="7"/>
  <c r="A342" i="7"/>
  <c r="A343" i="7"/>
  <c r="A344" i="7"/>
  <c r="A345" i="7"/>
  <c r="A346" i="7"/>
  <c r="A347" i="7"/>
  <c r="A348" i="7"/>
  <c r="A349" i="7"/>
  <c r="A350" i="7"/>
  <c r="A351" i="7"/>
  <c r="A352" i="7"/>
  <c r="A353" i="7"/>
  <c r="A354" i="7"/>
  <c r="A355" i="7"/>
  <c r="A356" i="7"/>
  <c r="A357" i="7"/>
  <c r="A358" i="7"/>
  <c r="A359" i="7"/>
  <c r="A360" i="7"/>
  <c r="A361" i="7"/>
  <c r="A362" i="7"/>
  <c r="H68" i="10" l="1"/>
  <c r="M44" i="7" l="1"/>
  <c r="O44" i="7" s="1"/>
  <c r="M45" i="7"/>
  <c r="O45" i="7" s="1"/>
  <c r="M46" i="7"/>
  <c r="O46" i="7" s="1"/>
  <c r="M47" i="7"/>
  <c r="O47" i="7" s="1"/>
  <c r="M48" i="7"/>
  <c r="O48" i="7" s="1"/>
  <c r="M49" i="7"/>
  <c r="O49" i="7" s="1"/>
  <c r="M50" i="7"/>
  <c r="O50" i="7" s="1"/>
  <c r="M51" i="7"/>
  <c r="O51" i="7" s="1"/>
  <c r="M52" i="7"/>
  <c r="O52" i="7" s="1"/>
  <c r="M53" i="7"/>
  <c r="O53" i="7" s="1"/>
  <c r="M54" i="7"/>
  <c r="O54" i="7" s="1"/>
  <c r="M55" i="7"/>
  <c r="O55" i="7" s="1"/>
  <c r="M56" i="7"/>
  <c r="O56" i="7" s="1"/>
  <c r="M57" i="7"/>
  <c r="O57" i="7" s="1"/>
  <c r="M58" i="7"/>
  <c r="O58" i="7" s="1"/>
  <c r="M59" i="7"/>
  <c r="O59" i="7" s="1"/>
  <c r="M60" i="7"/>
  <c r="O60" i="7" s="1"/>
  <c r="M61" i="7"/>
  <c r="O61" i="7" s="1"/>
  <c r="M62" i="7"/>
  <c r="O62" i="7" s="1"/>
  <c r="M63" i="7"/>
  <c r="O63" i="7" s="1"/>
  <c r="M64" i="7"/>
  <c r="O64" i="7" s="1"/>
  <c r="M65" i="7"/>
  <c r="O65" i="7" s="1"/>
  <c r="M66" i="7"/>
  <c r="O66" i="7" s="1"/>
  <c r="M67" i="7"/>
  <c r="O67" i="7" s="1"/>
  <c r="M68" i="7"/>
  <c r="O68" i="7" s="1"/>
  <c r="M69" i="7"/>
  <c r="O69" i="7" s="1"/>
  <c r="M70" i="7"/>
  <c r="O70" i="7" s="1"/>
  <c r="M71" i="7"/>
  <c r="O71" i="7" s="1"/>
  <c r="M72" i="7"/>
  <c r="O72" i="7" s="1"/>
  <c r="M73" i="7"/>
  <c r="O73" i="7" s="1"/>
  <c r="M74" i="7"/>
  <c r="O74" i="7" s="1"/>
  <c r="M75" i="7"/>
  <c r="O75" i="7" s="1"/>
  <c r="M76" i="7"/>
  <c r="O76" i="7" s="1"/>
  <c r="M77" i="7"/>
  <c r="O77" i="7" s="1"/>
  <c r="M78" i="7"/>
  <c r="O78" i="7" s="1"/>
  <c r="M79" i="7"/>
  <c r="O79" i="7" s="1"/>
  <c r="M80" i="7"/>
  <c r="O80" i="7" s="1"/>
  <c r="M81" i="7"/>
  <c r="O81" i="7" s="1"/>
  <c r="M82" i="7"/>
  <c r="O82" i="7" s="1"/>
  <c r="M83" i="7"/>
  <c r="O83" i="7" s="1"/>
  <c r="M84" i="7"/>
  <c r="O84" i="7" s="1"/>
  <c r="M85" i="7"/>
  <c r="O85" i="7" s="1"/>
  <c r="M86" i="7"/>
  <c r="O86" i="7" s="1"/>
  <c r="M87" i="7"/>
  <c r="O87" i="7" s="1"/>
  <c r="M88" i="7"/>
  <c r="O88" i="7" s="1"/>
  <c r="M89" i="7"/>
  <c r="O89" i="7" s="1"/>
  <c r="M90" i="7"/>
  <c r="O90" i="7" s="1"/>
  <c r="M91" i="7"/>
  <c r="O91" i="7" s="1"/>
  <c r="M92" i="7"/>
  <c r="O92" i="7" s="1"/>
  <c r="M93" i="7"/>
  <c r="O93" i="7" s="1"/>
  <c r="M94" i="7"/>
  <c r="O94" i="7" s="1"/>
  <c r="M95" i="7"/>
  <c r="O95" i="7" s="1"/>
  <c r="M96" i="7"/>
  <c r="O96" i="7" s="1"/>
  <c r="M97" i="7"/>
  <c r="O97" i="7" s="1"/>
  <c r="M98" i="7"/>
  <c r="O98" i="7" s="1"/>
  <c r="M99" i="7"/>
  <c r="O99" i="7" s="1"/>
  <c r="M100" i="7"/>
  <c r="O100" i="7" s="1"/>
  <c r="M101" i="7"/>
  <c r="O101" i="7" s="1"/>
  <c r="M102" i="7"/>
  <c r="O102" i="7" s="1"/>
  <c r="M103" i="7"/>
  <c r="O103" i="7" s="1"/>
  <c r="M104" i="7"/>
  <c r="O104" i="7" s="1"/>
  <c r="M105" i="7"/>
  <c r="O105" i="7" s="1"/>
  <c r="M106" i="7"/>
  <c r="O106" i="7" s="1"/>
  <c r="M107" i="7"/>
  <c r="O107" i="7" s="1"/>
  <c r="M108" i="7"/>
  <c r="O108" i="7" s="1"/>
  <c r="M109" i="7"/>
  <c r="O109" i="7" s="1"/>
  <c r="M110" i="7"/>
  <c r="O110" i="7" s="1"/>
  <c r="M111" i="7"/>
  <c r="O111" i="7" s="1"/>
  <c r="M112" i="7"/>
  <c r="O112" i="7" s="1"/>
  <c r="M113" i="7"/>
  <c r="O113" i="7" s="1"/>
  <c r="M114" i="7"/>
  <c r="O114" i="7" s="1"/>
  <c r="M115" i="7"/>
  <c r="O115" i="7" s="1"/>
  <c r="M116" i="7"/>
  <c r="O116" i="7" s="1"/>
  <c r="M117" i="7"/>
  <c r="O117" i="7" s="1"/>
  <c r="M118" i="7"/>
  <c r="O118" i="7" s="1"/>
  <c r="M119" i="7"/>
  <c r="O119" i="7" s="1"/>
  <c r="M120" i="7"/>
  <c r="O120" i="7" s="1"/>
  <c r="M121" i="7"/>
  <c r="O121" i="7" s="1"/>
  <c r="M122" i="7"/>
  <c r="O122" i="7" s="1"/>
  <c r="M123" i="7"/>
  <c r="O123" i="7" s="1"/>
  <c r="M124" i="7"/>
  <c r="O124" i="7" s="1"/>
  <c r="M125" i="7"/>
  <c r="O125" i="7" s="1"/>
  <c r="M126" i="7"/>
  <c r="O126" i="7" s="1"/>
  <c r="M127" i="7"/>
  <c r="O127" i="7" s="1"/>
  <c r="M128" i="7"/>
  <c r="O128" i="7" s="1"/>
  <c r="M129" i="7"/>
  <c r="O129" i="7" s="1"/>
  <c r="M130" i="7"/>
  <c r="O130" i="7" s="1"/>
  <c r="M131" i="7"/>
  <c r="O131" i="7" s="1"/>
  <c r="M132" i="7"/>
  <c r="O132" i="7" s="1"/>
  <c r="M133" i="7"/>
  <c r="O133" i="7" s="1"/>
  <c r="M134" i="7"/>
  <c r="O134" i="7" s="1"/>
  <c r="M135" i="7"/>
  <c r="O135" i="7" s="1"/>
  <c r="M136" i="7"/>
  <c r="O136" i="7" s="1"/>
  <c r="M137" i="7"/>
  <c r="O137" i="7" s="1"/>
  <c r="M138" i="7"/>
  <c r="O138" i="7" s="1"/>
  <c r="M139" i="7"/>
  <c r="O139" i="7" s="1"/>
  <c r="M140" i="7"/>
  <c r="O140" i="7" s="1"/>
  <c r="M141" i="7"/>
  <c r="O141" i="7" s="1"/>
  <c r="M142" i="7"/>
  <c r="O142" i="7" s="1"/>
  <c r="M143" i="7"/>
  <c r="O143" i="7" s="1"/>
  <c r="M144" i="7"/>
  <c r="O144" i="7" s="1"/>
  <c r="M145" i="7"/>
  <c r="O145" i="7" s="1"/>
  <c r="M146" i="7"/>
  <c r="O146" i="7" s="1"/>
  <c r="M147" i="7"/>
  <c r="O147" i="7" s="1"/>
  <c r="M148" i="7"/>
  <c r="O148" i="7" s="1"/>
  <c r="M149" i="7"/>
  <c r="O149" i="7" s="1"/>
  <c r="M150" i="7"/>
  <c r="O150" i="7" s="1"/>
  <c r="M151" i="7"/>
  <c r="O151" i="7" s="1"/>
  <c r="M152" i="7"/>
  <c r="O152" i="7" s="1"/>
  <c r="M153" i="7"/>
  <c r="O153" i="7" s="1"/>
  <c r="M154" i="7"/>
  <c r="O154" i="7" s="1"/>
  <c r="M155" i="7"/>
  <c r="O155" i="7" s="1"/>
  <c r="M156" i="7"/>
  <c r="O156" i="7" s="1"/>
  <c r="M157" i="7"/>
  <c r="O157" i="7" s="1"/>
  <c r="M158" i="7"/>
  <c r="O158" i="7" s="1"/>
  <c r="M159" i="7"/>
  <c r="O159" i="7" s="1"/>
  <c r="M160" i="7"/>
  <c r="O160" i="7" s="1"/>
  <c r="M161" i="7"/>
  <c r="O161" i="7" s="1"/>
  <c r="M162" i="7"/>
  <c r="O162" i="7" s="1"/>
  <c r="M163" i="7"/>
  <c r="O163" i="7" s="1"/>
  <c r="M164" i="7"/>
  <c r="O164" i="7" s="1"/>
  <c r="M165" i="7"/>
  <c r="O165" i="7" s="1"/>
  <c r="M166" i="7"/>
  <c r="O166" i="7" s="1"/>
  <c r="M167" i="7"/>
  <c r="O167" i="7" s="1"/>
  <c r="M168" i="7"/>
  <c r="O168" i="7" s="1"/>
  <c r="M169" i="7"/>
  <c r="O169" i="7" s="1"/>
  <c r="M170" i="7"/>
  <c r="O170" i="7" s="1"/>
  <c r="M171" i="7"/>
  <c r="O171" i="7" s="1"/>
  <c r="M172" i="7"/>
  <c r="O172" i="7" s="1"/>
  <c r="M173" i="7"/>
  <c r="O173" i="7" s="1"/>
  <c r="M174" i="7"/>
  <c r="O174" i="7" s="1"/>
  <c r="M175" i="7"/>
  <c r="O175" i="7" s="1"/>
  <c r="M176" i="7"/>
  <c r="O176" i="7" s="1"/>
  <c r="M177" i="7"/>
  <c r="O177" i="7" s="1"/>
  <c r="M178" i="7"/>
  <c r="O178" i="7" s="1"/>
  <c r="M179" i="7"/>
  <c r="O179" i="7" s="1"/>
  <c r="M180" i="7"/>
  <c r="O180" i="7" s="1"/>
  <c r="M181" i="7"/>
  <c r="O181" i="7" s="1"/>
  <c r="M182" i="7"/>
  <c r="O182" i="7" s="1"/>
  <c r="M183" i="7"/>
  <c r="O183" i="7" s="1"/>
  <c r="M184" i="7"/>
  <c r="O184" i="7" s="1"/>
  <c r="M185" i="7"/>
  <c r="O185" i="7" s="1"/>
  <c r="M186" i="7"/>
  <c r="O186" i="7" s="1"/>
  <c r="M187" i="7"/>
  <c r="O187" i="7" s="1"/>
  <c r="M188" i="7"/>
  <c r="O188" i="7" s="1"/>
  <c r="M189" i="7"/>
  <c r="O189" i="7" s="1"/>
  <c r="M190" i="7"/>
  <c r="O190" i="7" s="1"/>
  <c r="M191" i="7"/>
  <c r="O191" i="7" s="1"/>
  <c r="M192" i="7"/>
  <c r="O192" i="7" s="1"/>
  <c r="M193" i="7"/>
  <c r="O193" i="7" s="1"/>
  <c r="M194" i="7"/>
  <c r="O194" i="7" s="1"/>
  <c r="M195" i="7"/>
  <c r="O195" i="7" s="1"/>
  <c r="M196" i="7"/>
  <c r="O196" i="7" s="1"/>
  <c r="M197" i="7"/>
  <c r="O197" i="7" s="1"/>
  <c r="M198" i="7"/>
  <c r="O198" i="7" s="1"/>
  <c r="M199" i="7"/>
  <c r="O199" i="7" s="1"/>
  <c r="M200" i="7"/>
  <c r="O200" i="7" s="1"/>
  <c r="M201" i="7"/>
  <c r="O201" i="7" s="1"/>
  <c r="M202" i="7"/>
  <c r="O202" i="7" s="1"/>
  <c r="M203" i="7"/>
  <c r="O203" i="7" s="1"/>
  <c r="M204" i="7"/>
  <c r="O204" i="7" s="1"/>
  <c r="M205" i="7"/>
  <c r="O205" i="7" s="1"/>
  <c r="M206" i="7"/>
  <c r="O206" i="7" s="1"/>
  <c r="M207" i="7"/>
  <c r="O207" i="7" s="1"/>
  <c r="M208" i="7"/>
  <c r="O208" i="7" s="1"/>
  <c r="M209" i="7"/>
  <c r="O209" i="7" s="1"/>
  <c r="M210" i="7"/>
  <c r="O210" i="7" s="1"/>
  <c r="M211" i="7"/>
  <c r="O211" i="7" s="1"/>
  <c r="M212" i="7"/>
  <c r="O212" i="7" s="1"/>
  <c r="M213" i="7"/>
  <c r="O213" i="7" s="1"/>
  <c r="M214" i="7"/>
  <c r="O214" i="7" s="1"/>
  <c r="M215" i="7"/>
  <c r="O215" i="7" s="1"/>
  <c r="M216" i="7"/>
  <c r="O216" i="7" s="1"/>
  <c r="M217" i="7"/>
  <c r="O217" i="7" s="1"/>
  <c r="M218" i="7"/>
  <c r="O218" i="7" s="1"/>
  <c r="M219" i="7"/>
  <c r="O219" i="7" s="1"/>
  <c r="M220" i="7"/>
  <c r="O220" i="7" s="1"/>
  <c r="M221" i="7"/>
  <c r="O221" i="7" s="1"/>
  <c r="M222" i="7"/>
  <c r="O222" i="7" s="1"/>
  <c r="M223" i="7"/>
  <c r="O223" i="7" s="1"/>
  <c r="M224" i="7"/>
  <c r="O224" i="7" s="1"/>
  <c r="M225" i="7"/>
  <c r="O225" i="7" s="1"/>
  <c r="M226" i="7"/>
  <c r="O226" i="7" s="1"/>
  <c r="M227" i="7"/>
  <c r="O227" i="7" s="1"/>
  <c r="M228" i="7"/>
  <c r="O228" i="7" s="1"/>
  <c r="M229" i="7"/>
  <c r="O229" i="7" s="1"/>
  <c r="M230" i="7"/>
  <c r="O230" i="7" s="1"/>
  <c r="M231" i="7"/>
  <c r="O231" i="7" s="1"/>
  <c r="M232" i="7"/>
  <c r="O232" i="7" s="1"/>
  <c r="M233" i="7"/>
  <c r="O233" i="7" s="1"/>
  <c r="M234" i="7"/>
  <c r="O234" i="7" s="1"/>
  <c r="M235" i="7"/>
  <c r="O235" i="7" s="1"/>
  <c r="M236" i="7"/>
  <c r="O236" i="7" s="1"/>
  <c r="M237" i="7"/>
  <c r="O237" i="7" s="1"/>
  <c r="M238" i="7"/>
  <c r="O238" i="7" s="1"/>
  <c r="M239" i="7"/>
  <c r="O239" i="7" s="1"/>
  <c r="M240" i="7"/>
  <c r="O240" i="7" s="1"/>
  <c r="M241" i="7"/>
  <c r="O241" i="7" s="1"/>
  <c r="M242" i="7"/>
  <c r="O242" i="7" s="1"/>
  <c r="M243" i="7"/>
  <c r="O243" i="7" s="1"/>
  <c r="M244" i="7"/>
  <c r="O244" i="7" s="1"/>
  <c r="M245" i="7"/>
  <c r="O245" i="7" s="1"/>
  <c r="M246" i="7"/>
  <c r="O246" i="7" s="1"/>
  <c r="M247" i="7"/>
  <c r="O247" i="7" s="1"/>
  <c r="M248" i="7"/>
  <c r="O248" i="7" s="1"/>
  <c r="M249" i="7"/>
  <c r="O249" i="7" s="1"/>
  <c r="M250" i="7"/>
  <c r="O250" i="7" s="1"/>
  <c r="M251" i="7"/>
  <c r="O251" i="7" s="1"/>
  <c r="M252" i="7"/>
  <c r="O252" i="7" s="1"/>
  <c r="M253" i="7"/>
  <c r="O253" i="7" s="1"/>
  <c r="M254" i="7"/>
  <c r="O254" i="7" s="1"/>
  <c r="M255" i="7"/>
  <c r="O255" i="7" s="1"/>
  <c r="M256" i="7"/>
  <c r="O256" i="7" s="1"/>
  <c r="M257" i="7"/>
  <c r="O257" i="7" s="1"/>
  <c r="M258" i="7"/>
  <c r="O258" i="7" s="1"/>
  <c r="M259" i="7"/>
  <c r="O259" i="7" s="1"/>
  <c r="M260" i="7"/>
  <c r="O260" i="7" s="1"/>
  <c r="M261" i="7"/>
  <c r="O261" i="7" s="1"/>
  <c r="M262" i="7"/>
  <c r="O262" i="7" s="1"/>
  <c r="M263" i="7"/>
  <c r="O263" i="7" s="1"/>
  <c r="M264" i="7"/>
  <c r="O264" i="7" s="1"/>
  <c r="M265" i="7"/>
  <c r="O265" i="7" s="1"/>
  <c r="M266" i="7"/>
  <c r="O266" i="7" s="1"/>
  <c r="M267" i="7"/>
  <c r="O267" i="7" s="1"/>
  <c r="M268" i="7"/>
  <c r="O268" i="7" s="1"/>
  <c r="M269" i="7"/>
  <c r="O269" i="7" s="1"/>
  <c r="M270" i="7"/>
  <c r="O270" i="7" s="1"/>
  <c r="M271" i="7"/>
  <c r="O271" i="7" s="1"/>
  <c r="M272" i="7"/>
  <c r="O272" i="7" s="1"/>
  <c r="M273" i="7"/>
  <c r="O273" i="7" s="1"/>
  <c r="M274" i="7"/>
  <c r="O274" i="7" s="1"/>
  <c r="M275" i="7"/>
  <c r="O275" i="7" s="1"/>
  <c r="M276" i="7"/>
  <c r="O276" i="7" s="1"/>
  <c r="M277" i="7"/>
  <c r="O277" i="7" s="1"/>
  <c r="M278" i="7"/>
  <c r="O278" i="7" s="1"/>
  <c r="M279" i="7"/>
  <c r="O279" i="7" s="1"/>
  <c r="M280" i="7"/>
  <c r="O280" i="7" s="1"/>
  <c r="M281" i="7"/>
  <c r="O281" i="7" s="1"/>
  <c r="M282" i="7"/>
  <c r="O282" i="7" s="1"/>
  <c r="M283" i="7"/>
  <c r="O283" i="7" s="1"/>
  <c r="M284" i="7"/>
  <c r="O284" i="7" s="1"/>
  <c r="M285" i="7"/>
  <c r="O285" i="7" s="1"/>
  <c r="M286" i="7"/>
  <c r="O286" i="7" s="1"/>
  <c r="M287" i="7"/>
  <c r="O287" i="7" s="1"/>
  <c r="M288" i="7"/>
  <c r="O288" i="7" s="1"/>
  <c r="M289" i="7"/>
  <c r="O289" i="7" s="1"/>
  <c r="M290" i="7"/>
  <c r="O290" i="7" s="1"/>
  <c r="M291" i="7"/>
  <c r="O291" i="7" s="1"/>
  <c r="M292" i="7"/>
  <c r="O292" i="7" s="1"/>
  <c r="M293" i="7"/>
  <c r="O293" i="7" s="1"/>
  <c r="M294" i="7"/>
  <c r="O294" i="7" s="1"/>
  <c r="M295" i="7"/>
  <c r="O295" i="7" s="1"/>
  <c r="M296" i="7"/>
  <c r="O296" i="7" s="1"/>
  <c r="M297" i="7"/>
  <c r="O297" i="7" s="1"/>
  <c r="M298" i="7"/>
  <c r="O298" i="7" s="1"/>
  <c r="M299" i="7"/>
  <c r="O299" i="7" s="1"/>
  <c r="M300" i="7"/>
  <c r="O300" i="7" s="1"/>
  <c r="M301" i="7"/>
  <c r="O301" i="7" s="1"/>
  <c r="M302" i="7"/>
  <c r="O302" i="7" s="1"/>
  <c r="M303" i="7"/>
  <c r="O303" i="7" s="1"/>
  <c r="M304" i="7"/>
  <c r="O304" i="7" s="1"/>
  <c r="M305" i="7"/>
  <c r="O305" i="7" s="1"/>
  <c r="M306" i="7"/>
  <c r="O306" i="7" s="1"/>
  <c r="M307" i="7"/>
  <c r="O307" i="7" s="1"/>
  <c r="M308" i="7"/>
  <c r="O308" i="7" s="1"/>
  <c r="M309" i="7"/>
  <c r="O309" i="7" s="1"/>
  <c r="M310" i="7"/>
  <c r="O310" i="7" s="1"/>
  <c r="M311" i="7"/>
  <c r="O311" i="7" s="1"/>
  <c r="M312" i="7"/>
  <c r="O312" i="7" s="1"/>
  <c r="M313" i="7"/>
  <c r="O313" i="7" s="1"/>
  <c r="M314" i="7"/>
  <c r="O314" i="7" s="1"/>
  <c r="M315" i="7"/>
  <c r="O315" i="7" s="1"/>
  <c r="M316" i="7"/>
  <c r="O316" i="7" s="1"/>
  <c r="M317" i="7"/>
  <c r="O317" i="7" s="1"/>
  <c r="M318" i="7"/>
  <c r="O318" i="7" s="1"/>
  <c r="M319" i="7"/>
  <c r="O319" i="7" s="1"/>
  <c r="M320" i="7"/>
  <c r="O320" i="7" s="1"/>
  <c r="M321" i="7"/>
  <c r="O321" i="7" s="1"/>
  <c r="M322" i="7"/>
  <c r="O322" i="7" s="1"/>
  <c r="M323" i="7"/>
  <c r="O323" i="7" s="1"/>
  <c r="M324" i="7"/>
  <c r="O324" i="7" s="1"/>
  <c r="M325" i="7"/>
  <c r="O325" i="7" s="1"/>
  <c r="M326" i="7"/>
  <c r="O326" i="7" s="1"/>
  <c r="M327" i="7"/>
  <c r="O327" i="7" s="1"/>
  <c r="M328" i="7"/>
  <c r="O328" i="7" s="1"/>
  <c r="M329" i="7"/>
  <c r="O329" i="7" s="1"/>
  <c r="M330" i="7"/>
  <c r="O330" i="7" s="1"/>
  <c r="M331" i="7"/>
  <c r="O331" i="7" s="1"/>
  <c r="M332" i="7"/>
  <c r="O332" i="7" s="1"/>
  <c r="M333" i="7"/>
  <c r="O333" i="7" s="1"/>
  <c r="M334" i="7"/>
  <c r="O334" i="7" s="1"/>
  <c r="M335" i="7"/>
  <c r="O335" i="7" s="1"/>
  <c r="M336" i="7"/>
  <c r="O336" i="7" s="1"/>
  <c r="M337" i="7"/>
  <c r="O337" i="7" s="1"/>
  <c r="M338" i="7"/>
  <c r="O338" i="7" s="1"/>
  <c r="M339" i="7"/>
  <c r="O339" i="7" s="1"/>
  <c r="M340" i="7"/>
  <c r="O340" i="7" s="1"/>
  <c r="M341" i="7"/>
  <c r="O341" i="7" s="1"/>
  <c r="M342" i="7"/>
  <c r="O342" i="7" s="1"/>
  <c r="M343" i="7"/>
  <c r="O343" i="7" s="1"/>
  <c r="M344" i="7"/>
  <c r="O344" i="7" s="1"/>
  <c r="M345" i="7"/>
  <c r="O345" i="7" s="1"/>
  <c r="M346" i="7"/>
  <c r="O346" i="7" s="1"/>
  <c r="M347" i="7"/>
  <c r="O347" i="7" s="1"/>
  <c r="M348" i="7"/>
  <c r="O348" i="7" s="1"/>
  <c r="M349" i="7"/>
  <c r="O349" i="7" s="1"/>
  <c r="M350" i="7"/>
  <c r="O350" i="7" s="1"/>
  <c r="M351" i="7"/>
  <c r="O351" i="7" s="1"/>
  <c r="M352" i="7"/>
  <c r="O352" i="7" s="1"/>
  <c r="M353" i="7"/>
  <c r="O353" i="7" s="1"/>
  <c r="M354" i="7"/>
  <c r="O354" i="7" s="1"/>
  <c r="M355" i="7"/>
  <c r="O355" i="7" s="1"/>
  <c r="M356" i="7"/>
  <c r="O356" i="7" s="1"/>
  <c r="M357" i="7"/>
  <c r="O357" i="7" s="1"/>
  <c r="M358" i="7"/>
  <c r="O358" i="7" s="1"/>
  <c r="M359" i="7"/>
  <c r="O359" i="7" s="1"/>
  <c r="M360" i="7"/>
  <c r="O360" i="7" s="1"/>
  <c r="M361" i="7"/>
  <c r="O361" i="7" s="1"/>
  <c r="M362" i="7"/>
  <c r="O362" i="7" s="1"/>
  <c r="M39" i="7"/>
  <c r="O39" i="7" s="1"/>
  <c r="M40" i="7"/>
  <c r="O40" i="7" s="1"/>
  <c r="M41" i="7"/>
  <c r="O41" i="7" s="1"/>
  <c r="M42" i="7"/>
  <c r="O42" i="7" s="1"/>
  <c r="M43" i="7"/>
  <c r="O43" i="7" s="1"/>
  <c r="M38" i="7"/>
  <c r="O38" i="7" s="1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M32" i="7"/>
  <c r="O32" i="7" s="1"/>
  <c r="M33" i="7"/>
  <c r="O33" i="7" s="1"/>
  <c r="M34" i="7"/>
  <c r="O34" i="7" s="1"/>
  <c r="M35" i="7"/>
  <c r="O35" i="7" s="1"/>
  <c r="M36" i="7"/>
  <c r="O36" i="7" s="1"/>
  <c r="M37" i="7"/>
  <c r="O37" i="7" s="1"/>
  <c r="A10" i="13" l="1" a="1"/>
  <c r="A10" i="13" s="1"/>
  <c r="B7" i="13"/>
  <c r="A3" i="7" l="1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O8" i="13" l="1"/>
  <c r="M8" i="13"/>
  <c r="H58" i="10"/>
  <c r="H24" i="10"/>
  <c r="H64" i="10" l="1"/>
  <c r="H63" i="10"/>
  <c r="H41" i="10"/>
  <c r="H40" i="10"/>
  <c r="H38" i="10"/>
  <c r="H36" i="10"/>
  <c r="H35" i="10"/>
  <c r="H30" i="10"/>
  <c r="H29" i="10"/>
  <c r="H28" i="10"/>
  <c r="H27" i="10"/>
  <c r="H26" i="10"/>
  <c r="H22" i="10"/>
  <c r="H21" i="10"/>
  <c r="O7" i="6"/>
  <c r="O6" i="6"/>
  <c r="O5" i="6"/>
  <c r="O4" i="6"/>
  <c r="O3" i="6"/>
  <c r="O2" i="6"/>
  <c r="O16" i="5"/>
  <c r="O15" i="5"/>
  <c r="O14" i="5"/>
  <c r="O13" i="5"/>
  <c r="O12" i="5"/>
  <c r="O11" i="5"/>
  <c r="O10" i="5"/>
  <c r="O9" i="5"/>
  <c r="O8" i="5"/>
  <c r="O7" i="5"/>
  <c r="O6" i="5"/>
  <c r="O5" i="5"/>
  <c r="O4" i="5"/>
  <c r="O3" i="5"/>
  <c r="O2" i="5"/>
  <c r="M3" i="7" l="1"/>
  <c r="O3" i="7" s="1"/>
  <c r="M4" i="7"/>
  <c r="O4" i="7" s="1"/>
  <c r="M5" i="7"/>
  <c r="O5" i="7" s="1"/>
  <c r="M6" i="7"/>
  <c r="O6" i="7" s="1"/>
  <c r="M7" i="7"/>
  <c r="O7" i="7" s="1"/>
  <c r="M8" i="7"/>
  <c r="O8" i="7" s="1"/>
  <c r="M9" i="7"/>
  <c r="O9" i="7" s="1"/>
  <c r="M10" i="7"/>
  <c r="O10" i="7" s="1"/>
  <c r="M11" i="7"/>
  <c r="O11" i="7" s="1"/>
  <c r="M12" i="7"/>
  <c r="O12" i="7" s="1"/>
  <c r="M13" i="7"/>
  <c r="O13" i="7" s="1"/>
  <c r="M14" i="7"/>
  <c r="O14" i="7" s="1"/>
  <c r="M15" i="7"/>
  <c r="O15" i="7" s="1"/>
  <c r="M16" i="7"/>
  <c r="O16" i="7" s="1"/>
  <c r="M17" i="7"/>
  <c r="O17" i="7" s="1"/>
  <c r="M18" i="7"/>
  <c r="O18" i="7" s="1"/>
  <c r="M19" i="7"/>
  <c r="O19" i="7" s="1"/>
  <c r="M20" i="7"/>
  <c r="O20" i="7" s="1"/>
  <c r="M21" i="7"/>
  <c r="O21" i="7" s="1"/>
  <c r="M22" i="7"/>
  <c r="O22" i="7" s="1"/>
  <c r="M23" i="7"/>
  <c r="O23" i="7" s="1"/>
  <c r="M24" i="7"/>
  <c r="O24" i="7" s="1"/>
  <c r="M25" i="7"/>
  <c r="O25" i="7" s="1"/>
  <c r="M26" i="7"/>
  <c r="O26" i="7" s="1"/>
  <c r="M27" i="7"/>
  <c r="O27" i="7" s="1"/>
  <c r="M28" i="7"/>
  <c r="O28" i="7" s="1"/>
  <c r="M29" i="7"/>
  <c r="O29" i="7" s="1"/>
  <c r="M30" i="7"/>
  <c r="O30" i="7" s="1"/>
  <c r="M31" i="7"/>
  <c r="O31" i="7" s="1"/>
  <c r="M2" i="7"/>
  <c r="O2" i="7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<sst xmlns="http://schemas.openxmlformats.org/spreadsheetml/2006/main" count="2124" uniqueCount="567">
  <si>
    <t>Marjoram</t>
  </si>
  <si>
    <t>Chamomile</t>
  </si>
  <si>
    <t>Rosemary</t>
  </si>
  <si>
    <t>Basil</t>
  </si>
  <si>
    <t>Thyme</t>
  </si>
  <si>
    <t>Peppermint</t>
  </si>
  <si>
    <t>Calendula</t>
  </si>
  <si>
    <t>Hibiscus</t>
  </si>
  <si>
    <t>Sage</t>
  </si>
  <si>
    <t>Date</t>
  </si>
  <si>
    <t>Lot Num.</t>
  </si>
  <si>
    <t>Supplier</t>
  </si>
  <si>
    <t>Product</t>
  </si>
  <si>
    <t>Pesticide</t>
  </si>
  <si>
    <t>Pack Kind</t>
  </si>
  <si>
    <t>Pack Num.</t>
  </si>
  <si>
    <t>Gross Wt.</t>
  </si>
  <si>
    <t>Pskal</t>
  </si>
  <si>
    <t>Pack Wt.</t>
  </si>
  <si>
    <t>Wt. Befor ratio</t>
  </si>
  <si>
    <t>Ratio</t>
  </si>
  <si>
    <t>Wt. After Ratio</t>
  </si>
  <si>
    <t>Work order Num.</t>
  </si>
  <si>
    <t>Store</t>
  </si>
  <si>
    <t>Notes</t>
  </si>
  <si>
    <t>Savory</t>
  </si>
  <si>
    <t>احمد اشمنت</t>
  </si>
  <si>
    <t>احمد عبيد</t>
  </si>
  <si>
    <t>احمد عويس</t>
  </si>
  <si>
    <t>احمد محمود</t>
  </si>
  <si>
    <t>السيد ربيع</t>
  </si>
  <si>
    <t>المتحده</t>
  </si>
  <si>
    <t>باسم حنا</t>
  </si>
  <si>
    <t>بباوى ونيس</t>
  </si>
  <si>
    <t>بهجت اسيوط</t>
  </si>
  <si>
    <t>حسن منفى</t>
  </si>
  <si>
    <t>رائد غبور</t>
  </si>
  <si>
    <t>رائف عدلى</t>
  </si>
  <si>
    <t>سامح شحاته</t>
  </si>
  <si>
    <t>سعيد حمدى</t>
  </si>
  <si>
    <t>سمير شحاته</t>
  </si>
  <si>
    <t>سيجما</t>
  </si>
  <si>
    <t xml:space="preserve">شعبان الفيومى </t>
  </si>
  <si>
    <t>شعبان طه</t>
  </si>
  <si>
    <t>عادل صديق</t>
  </si>
  <si>
    <t>ماهر سعد</t>
  </si>
  <si>
    <t>مجدى راغب</t>
  </si>
  <si>
    <t xml:space="preserve">مجدى الليثى </t>
  </si>
  <si>
    <t>محمد الشيخ</t>
  </si>
  <si>
    <t>محمد جمال</t>
  </si>
  <si>
    <t>محمد عيد</t>
  </si>
  <si>
    <t>محمد كمال</t>
  </si>
  <si>
    <t>محمد مرتضى</t>
  </si>
  <si>
    <t>مزارع دينا</t>
  </si>
  <si>
    <t>موسى نجاح</t>
  </si>
  <si>
    <t xml:space="preserve">هانى عدلى </t>
  </si>
  <si>
    <t>هانى فوزى</t>
  </si>
  <si>
    <t>هانى مبارك</t>
  </si>
  <si>
    <t>وادى دجله</t>
  </si>
  <si>
    <t>اشرف عشرى</t>
  </si>
  <si>
    <t>نصرى وسمين</t>
  </si>
  <si>
    <t>Cotton bag</t>
  </si>
  <si>
    <t>jute</t>
  </si>
  <si>
    <t>Type</t>
  </si>
  <si>
    <t>lot 2301</t>
  </si>
  <si>
    <t>ممدوح الناظر</t>
  </si>
  <si>
    <t>lot 2313</t>
  </si>
  <si>
    <t>lot 2314</t>
  </si>
  <si>
    <t>lot 2316</t>
  </si>
  <si>
    <t>lot 2302</t>
  </si>
  <si>
    <t>lot 2305</t>
  </si>
  <si>
    <t>محمود العمده</t>
  </si>
  <si>
    <t>كزبرة حب</t>
  </si>
  <si>
    <t>شيح جوال مطحون</t>
  </si>
  <si>
    <t>سبانخ</t>
  </si>
  <si>
    <t>شيح جوال 2023</t>
  </si>
  <si>
    <t>كزبره  صناعى</t>
  </si>
  <si>
    <t>r7</t>
  </si>
  <si>
    <t>العلالمه</t>
  </si>
  <si>
    <t>تم صرف 3000 ك</t>
  </si>
  <si>
    <t>تم صرف 476ك قبل وبعد النسبه اذن 2733 يوم 20/8/2025 امر103</t>
  </si>
  <si>
    <t>r6</t>
  </si>
  <si>
    <t>تم صرف 13 كرتونه وزن 117 ك امر 161 اذن 2977</t>
  </si>
  <si>
    <t>عزبه موريس</t>
  </si>
  <si>
    <t>Released</t>
  </si>
  <si>
    <t>lot 2403</t>
  </si>
  <si>
    <t>lot 2412</t>
  </si>
  <si>
    <t>lot 2413</t>
  </si>
  <si>
    <t>lot 2416</t>
  </si>
  <si>
    <t>lot 2417</t>
  </si>
  <si>
    <t>lot 2418</t>
  </si>
  <si>
    <t>lot 2419</t>
  </si>
  <si>
    <t>lot 2436</t>
  </si>
  <si>
    <t>lot 2449</t>
  </si>
  <si>
    <t>lot 2407</t>
  </si>
  <si>
    <t>عزمى ابراهيم</t>
  </si>
  <si>
    <t>lot 2421</t>
  </si>
  <si>
    <t>lot 2401</t>
  </si>
  <si>
    <t>طحن شيح</t>
  </si>
  <si>
    <t>ريحان مجروش</t>
  </si>
  <si>
    <t>بقدونس كيرلى</t>
  </si>
  <si>
    <t xml:space="preserve"> 1800 منصرف </t>
  </si>
  <si>
    <t>طيبات</t>
  </si>
  <si>
    <t>لوط مورد 9\عنق</t>
  </si>
  <si>
    <t>تم التخليط مع لوط 2449 / بعد التخليط تم تغير المعدل 55.1 ف الميه /420ك عوادم منهم  و470 ك بضاعه تالفه /تم صرف 80 شوال وقبل النسبه 470 وبعد النسبه 321 اذن 2800 يوم 29/9/2025 امر163   لو مادونا طلبت الامر دا مش هديها العربيه دى عشان دا متخلط</t>
  </si>
  <si>
    <t>r4</t>
  </si>
  <si>
    <t>المنيا</t>
  </si>
  <si>
    <t>اسيوط</t>
  </si>
  <si>
    <t>رواجع خشنه \الرقم 000460 و 000462</t>
  </si>
  <si>
    <t>الرقم 000463\قطاعات c4 حشه اولى\الوزن القائم  عند النقل 7460يوجد فرق 160 ك</t>
  </si>
  <si>
    <t>يتم الصرف بامر م ريمون \الرقم 000468</t>
  </si>
  <si>
    <t>lot 2501</t>
  </si>
  <si>
    <t>سبانخ مجفف\000087/000086/000085</t>
  </si>
  <si>
    <t>lot 2502</t>
  </si>
  <si>
    <t>الرقم 000094</t>
  </si>
  <si>
    <t>lot 2505</t>
  </si>
  <si>
    <t xml:space="preserve">شيح زهر </t>
  </si>
  <si>
    <t>حيوى</t>
  </si>
  <si>
    <t>lot 2503</t>
  </si>
  <si>
    <t>الرقم 000108\000107</t>
  </si>
  <si>
    <t>lot 2557</t>
  </si>
  <si>
    <t xml:space="preserve">بقدونس كيرلى </t>
  </si>
  <si>
    <t>عنق شيح</t>
  </si>
  <si>
    <t>ينسون</t>
  </si>
  <si>
    <t>r5</t>
  </si>
  <si>
    <t>بتلات كلانديولا</t>
  </si>
  <si>
    <t>طبليه</t>
  </si>
  <si>
    <t>lot 2515</t>
  </si>
  <si>
    <t>lot 2516</t>
  </si>
  <si>
    <t>lot 2517</t>
  </si>
  <si>
    <t>lot 2518</t>
  </si>
  <si>
    <t>lot 2519</t>
  </si>
  <si>
    <t>به نسبه بودره غير مجهزه   /تم صرف مبيعات محليه ل سعيد حمدى 82 كرتونه بوزن 1133.45 وخصم فوارغ *1.400 يبقى الصافى قبل وبعد النسبه 1019 يوم 6/11/2025  اذن 2846</t>
  </si>
  <si>
    <t>lot 2520</t>
  </si>
  <si>
    <t>lot 2521</t>
  </si>
  <si>
    <t>lot 2522</t>
  </si>
  <si>
    <t>تم صرف 88ش بوزن 1760ك خصم بسكال 1% وخصم فوارغ 22 وقبل وبعد النسبه 1720 واذن2883 يوم 10/12/2025 امر 203</t>
  </si>
  <si>
    <t>عفش شيح</t>
  </si>
  <si>
    <t>بضاعه خشنه</t>
  </si>
  <si>
    <t>بضاعه ناعمه</t>
  </si>
  <si>
    <t>lot 25103</t>
  </si>
  <si>
    <t>/الرقم 000235بضاعه بطن مجفف</t>
  </si>
  <si>
    <t>الرقم 000234</t>
  </si>
  <si>
    <t>lot 2506</t>
  </si>
  <si>
    <t>lot 2508</t>
  </si>
  <si>
    <t>الرقم 000261-000258-000259</t>
  </si>
  <si>
    <t>lot 2507</t>
  </si>
  <si>
    <t>الرقم 000260-000262-000263</t>
  </si>
  <si>
    <t>نعناع مجروش</t>
  </si>
  <si>
    <t>ساقط كرفس</t>
  </si>
  <si>
    <t>lot 2509</t>
  </si>
  <si>
    <t>سكلات شبت</t>
  </si>
  <si>
    <t>الشارع</t>
  </si>
  <si>
    <t>زعتر</t>
  </si>
  <si>
    <t>لطحن /الرقم 000279 الرقم000280</t>
  </si>
  <si>
    <t>الرقم 000277 الرقم 000278</t>
  </si>
  <si>
    <t>lot 2510</t>
  </si>
  <si>
    <t>lot 2504</t>
  </si>
  <si>
    <t>r2</t>
  </si>
  <si>
    <t xml:space="preserve">كزبرة صناعى </t>
  </si>
  <si>
    <t>lot 2528</t>
  </si>
  <si>
    <t>lot 2529</t>
  </si>
  <si>
    <t>رواجع معزوله</t>
  </si>
  <si>
    <t>lot2511</t>
  </si>
  <si>
    <t>الرقم 000311/ ريحان فرنساوى</t>
  </si>
  <si>
    <t>lot2512</t>
  </si>
  <si>
    <t>الرقم 000312/ ريحان فرنساوى</t>
  </si>
  <si>
    <t>بردقوش</t>
  </si>
  <si>
    <t>lot 2514</t>
  </si>
  <si>
    <t>الرقم000322</t>
  </si>
  <si>
    <t>الرقم 000322/بضاعه ناعمه تحت 2مم</t>
  </si>
  <si>
    <t xml:space="preserve">نعناع فلفلى </t>
  </si>
  <si>
    <t>مزرعه نبع الحياه</t>
  </si>
  <si>
    <t>الرقم 000339</t>
  </si>
  <si>
    <t>الرقم 000340</t>
  </si>
  <si>
    <t xml:space="preserve">شمر </t>
  </si>
  <si>
    <t>r3</t>
  </si>
  <si>
    <t>الرقم 000341</t>
  </si>
  <si>
    <t>201+</t>
  </si>
  <si>
    <t>تم صرف 55 شوال وقبل النسبه 871 وبعد النسبه 618 اذن 2867 يوم 26/11/2025 امر 201</t>
  </si>
  <si>
    <t>lot 2526</t>
  </si>
  <si>
    <t>بضاعه 74% مفلوق8.5%</t>
  </si>
  <si>
    <t>بنى سويف</t>
  </si>
  <si>
    <t>lot 2538</t>
  </si>
  <si>
    <t>lot 2539</t>
  </si>
  <si>
    <t xml:space="preserve">اسيوط   </t>
  </si>
  <si>
    <t>lot 2540</t>
  </si>
  <si>
    <t>209+</t>
  </si>
  <si>
    <t>تم صرف 65 ش وقبل النسبه 1615 ك وبعد النسبه 888  اذن 2877 يوم 5/12/2025 امر 209/ تم صرف 55ش وقبل النسبه1402ك وبعد النسبه 771 اذن 2877 يوم 6/12/2025 امر 209</t>
  </si>
  <si>
    <t>الرقم 000344</t>
  </si>
  <si>
    <t>R4</t>
  </si>
  <si>
    <t>الرقم 000348</t>
  </si>
  <si>
    <t>lot 2544</t>
  </si>
  <si>
    <t xml:space="preserve">بقدونس طبيعى </t>
  </si>
  <si>
    <t>NO</t>
  </si>
  <si>
    <t>Products</t>
  </si>
  <si>
    <t>SupplierName</t>
  </si>
  <si>
    <t>Packaging</t>
  </si>
  <si>
    <t>Anise Seeds</t>
  </si>
  <si>
    <t>Beetroot</t>
  </si>
  <si>
    <t>Black Cumin</t>
  </si>
  <si>
    <t>Black Pepper</t>
  </si>
  <si>
    <t>Caraway Seeds</t>
  </si>
  <si>
    <t>Cumin Seeds</t>
  </si>
  <si>
    <t>Fennel Seeds</t>
  </si>
  <si>
    <t>Herb Mix</t>
  </si>
  <si>
    <t>Oregano</t>
  </si>
  <si>
    <t>Spearmint</t>
  </si>
  <si>
    <t>Verbasci</t>
  </si>
  <si>
    <t>Parsley SD</t>
  </si>
  <si>
    <t>Parsley MD</t>
  </si>
  <si>
    <t>Spinach MD</t>
  </si>
  <si>
    <t>Onion MD</t>
  </si>
  <si>
    <t>Lemon MD</t>
  </si>
  <si>
    <t>Leek MD</t>
  </si>
  <si>
    <t>Garlic MD</t>
  </si>
  <si>
    <t>Dill SD</t>
  </si>
  <si>
    <t>Dill MD</t>
  </si>
  <si>
    <t>Celery MD</t>
  </si>
  <si>
    <t>Cilantro MD</t>
  </si>
  <si>
    <t>Spec</t>
  </si>
  <si>
    <t>Raw</t>
  </si>
  <si>
    <t>Industrial</t>
  </si>
  <si>
    <t>Crushed</t>
  </si>
  <si>
    <t>Flower</t>
  </si>
  <si>
    <t>Blue Corn</t>
  </si>
  <si>
    <t>Leaves</t>
  </si>
  <si>
    <t>Althea</t>
  </si>
  <si>
    <t>Seeds</t>
  </si>
  <si>
    <t>Pollen</t>
  </si>
  <si>
    <t>Powder</t>
  </si>
  <si>
    <t>Stems</t>
  </si>
  <si>
    <t>Petals</t>
  </si>
  <si>
    <t>Broken Stems</t>
  </si>
  <si>
    <t>Hot</t>
  </si>
  <si>
    <t>White Stems</t>
  </si>
  <si>
    <t>Slices</t>
  </si>
  <si>
    <t>TBC</t>
  </si>
  <si>
    <t>Ground</t>
  </si>
  <si>
    <t>Parsley Curly MD</t>
  </si>
  <si>
    <t>Cracked</t>
  </si>
  <si>
    <t>Granules</t>
  </si>
  <si>
    <t>Chopped</t>
  </si>
  <si>
    <t>Henna</t>
  </si>
  <si>
    <t>Molokhia</t>
  </si>
  <si>
    <t>Lemon grass</t>
  </si>
  <si>
    <t>Mincid</t>
  </si>
  <si>
    <t>Coriander seeds</t>
  </si>
  <si>
    <t>Linseed</t>
  </si>
  <si>
    <t>Laura paper</t>
  </si>
  <si>
    <t>Olive leaves</t>
  </si>
  <si>
    <t>Wheat seeds</t>
  </si>
  <si>
    <t>Conventional</t>
  </si>
  <si>
    <t>Eu Limits</t>
  </si>
  <si>
    <t>Organic</t>
  </si>
  <si>
    <t>UnderAnalysis</t>
  </si>
  <si>
    <t>Fail</t>
  </si>
  <si>
    <t>Europ</t>
  </si>
  <si>
    <t>Analysis</t>
  </si>
  <si>
    <t>Paper Bag</t>
  </si>
  <si>
    <t>Plastic Bag</t>
  </si>
  <si>
    <t>Carton Box</t>
  </si>
  <si>
    <t>Canceled</t>
  </si>
  <si>
    <t>Rejected</t>
  </si>
  <si>
    <t>Status</t>
  </si>
  <si>
    <t>مرتجع انتاج محتوى الدور التالت</t>
  </si>
  <si>
    <t>مسلسل</t>
  </si>
  <si>
    <t>التاريخ</t>
  </si>
  <si>
    <t>الصنف</t>
  </si>
  <si>
    <t>سنه المنتج</t>
  </si>
  <si>
    <t xml:space="preserve"> التحليل</t>
  </si>
  <si>
    <t>العدد</t>
  </si>
  <si>
    <t>الوزن</t>
  </si>
  <si>
    <t>النسبه</t>
  </si>
  <si>
    <t>الصافى</t>
  </si>
  <si>
    <t>ملاحظات</t>
  </si>
  <si>
    <t>المكان</t>
  </si>
  <si>
    <t xml:space="preserve">طحن اصفر مجهز2019  </t>
  </si>
  <si>
    <t>عادة</t>
  </si>
  <si>
    <t>الفيوم</t>
  </si>
  <si>
    <t>تم سحب 735 ك ومتبقى 2215 ك اذن 2846</t>
  </si>
  <si>
    <t>ساقطة شيح عاده-40+60 \ 2019</t>
  </si>
  <si>
    <t xml:space="preserve">كسر شيح عادة -2 </t>
  </si>
  <si>
    <t>دشت شيح قديم</t>
  </si>
  <si>
    <t>قطعات شيح حيوى 2020</t>
  </si>
  <si>
    <t>بتلات غير مجهزة 2021</t>
  </si>
  <si>
    <t>شطفات الاجير من الطحن</t>
  </si>
  <si>
    <t>خوارج بذرة عادة من العلالمه</t>
  </si>
  <si>
    <t>شيح جوال موحد</t>
  </si>
  <si>
    <t>كنسات شيح عادة من المصنع</t>
  </si>
  <si>
    <t>طحن شيح مجهز</t>
  </si>
  <si>
    <t>تم سحب 400 ك 15 جوال امر 44 اذن 2752</t>
  </si>
  <si>
    <t>قطعات تحت الغربال بها بذرة</t>
  </si>
  <si>
    <t>مرتجع انتاج عفش شيح من المصنع الى العلالمه ح.م</t>
  </si>
  <si>
    <t xml:space="preserve">عنق شيح </t>
  </si>
  <si>
    <t>شيح جوال قديم</t>
  </si>
  <si>
    <t xml:space="preserve">عنق شيح مطحون قديم </t>
  </si>
  <si>
    <t xml:space="preserve"> م+A1:L50رتجع انتاج من باقى امر شغل &amp; محتوى الدور الثالث</t>
  </si>
  <si>
    <t>النسبة</t>
  </si>
  <si>
    <t>منصرف</t>
  </si>
  <si>
    <t>المتبقى</t>
  </si>
  <si>
    <t>مرتجع انتاج امر59 بردقوش عاده مستورد</t>
  </si>
  <si>
    <t>R6</t>
  </si>
  <si>
    <t>مرتجع انتاج بردقوش اورجنك خام امر83</t>
  </si>
  <si>
    <t>خوارج بردقوش ارجنك امر83</t>
  </si>
  <si>
    <t>شمر كسر عاده</t>
  </si>
  <si>
    <t>السلم</t>
  </si>
  <si>
    <t xml:space="preserve">عوادم تالف مطر ريحان من عربيات س.ا 2203 و 2204 وب.ح 2205 و بب.و 2201 </t>
  </si>
  <si>
    <t>العوادم</t>
  </si>
  <si>
    <t xml:space="preserve">مرتجع انتاج بودرة كركديه </t>
  </si>
  <si>
    <t>مرتجع انتاج بذرة كركديه</t>
  </si>
  <si>
    <t>مرتجع انتاج عوادم كركديه</t>
  </si>
  <si>
    <t>مرتجع انتاج كنسات كركديه</t>
  </si>
  <si>
    <t xml:space="preserve">متبقى من عفش نعناع لوط 2301 م.ع خمسات </t>
  </si>
  <si>
    <t xml:space="preserve">مرتجع من لوط 2311 ب.ح قطعات صنايعيه ريحان </t>
  </si>
  <si>
    <t>مرتجع سبانخ (شطفه) من امر 161</t>
  </si>
  <si>
    <t>ك11</t>
  </si>
  <si>
    <t>مرتجع هوالك الراعى بصل كيبلد</t>
  </si>
  <si>
    <t>بردقوش حيوى اذن138566 من امر 121</t>
  </si>
  <si>
    <t>منصرف اذن 3424 امر  36 رمضان المنشيه</t>
  </si>
  <si>
    <t xml:space="preserve">مرتجع كزبره صناعى بها ورقه صفراء من امر 81 </t>
  </si>
  <si>
    <t>مرتجع بقدونس طبيعى وادى دجله</t>
  </si>
  <si>
    <t xml:space="preserve">مرتجع شطفات سبانخ </t>
  </si>
  <si>
    <t xml:space="preserve">مرتجع كراويه </t>
  </si>
  <si>
    <t>منصرف اذن 3408 امر 11</t>
  </si>
  <si>
    <t>الاستراحه</t>
  </si>
  <si>
    <t>زعتر حيوى وادى دجله اذن 138888 و 138889 لوط 2414 و 2415من امر  157</t>
  </si>
  <si>
    <t>منصرف اذن 3401 امر  16</t>
  </si>
  <si>
    <t xml:space="preserve">عزبه موريس </t>
  </si>
  <si>
    <t>زعتر حيوى وادى دجله اذن 138924  لوط 2416 من امر 157</t>
  </si>
  <si>
    <t>مرتجع انتاج ريحان ا.اش من امر  148 لوط 2455</t>
  </si>
  <si>
    <t>منصرف اذن 3394 امر 3</t>
  </si>
  <si>
    <t>تندة</t>
  </si>
  <si>
    <t>مرتجع كزبره صناعى اوروبا 2021 من لوط 219 اذن 136328 ممدوح الناظر من امر 137</t>
  </si>
  <si>
    <t xml:space="preserve">بضاعه كزبره حب درجه تانيه </t>
  </si>
  <si>
    <t xml:space="preserve">عوادم بضاعه كزبره حب </t>
  </si>
  <si>
    <t xml:space="preserve"> شبت صناعى مجهز وادى دجله  من امر 27\2025</t>
  </si>
  <si>
    <t>منصرف اذن 3444 امر  51</t>
  </si>
  <si>
    <t xml:space="preserve"> شبت صناعى مجهز وادى دجله  من امر 27 \ 2025 رواجع</t>
  </si>
  <si>
    <t>تم صرف 51 شوال  1016 قائم مبيعات محليه م.س اذن 3440 قبل 1003 وبعد النسبه 792 ك/ تم صرف 186 شوال قبل 3737 وبعد النسبه 2653 اذن 2584 امر 87</t>
  </si>
  <si>
    <t xml:space="preserve">شوال شبت صناعى رائف عدلى </t>
  </si>
  <si>
    <t>مرتجع كزبره صناعى وادى دجله كرتون من لوط 2511 امر 42</t>
  </si>
  <si>
    <t>منصرف 2557 امر  82</t>
  </si>
  <si>
    <t xml:space="preserve">شبت صناعى وادى دجله مشطوف من امر 2025/27 </t>
  </si>
  <si>
    <t>منصرف 2584 امر 87</t>
  </si>
  <si>
    <t xml:space="preserve">شطفه اورجانو مستورد </t>
  </si>
  <si>
    <t xml:space="preserve">نعناع مجروش مجهز للانتاج للبيع المحلى </t>
  </si>
  <si>
    <t>تم الصرف 240 شوال وزن قائم 5525 وقبل وبعد النسبه 5470 مبيعات محليه اذن 2572</t>
  </si>
  <si>
    <t>عوادم</t>
  </si>
  <si>
    <t>مرتجع انتاج كزبره صناعى وادى دجله من لوط 2521</t>
  </si>
  <si>
    <t>تم الصرف للانتاج اذن 2641 وامر 104</t>
  </si>
  <si>
    <t>مرتجع انتاج بذره كرفس مجهزه</t>
  </si>
  <si>
    <t xml:space="preserve">مرتجع انتاج خوارج بذره كرفس </t>
  </si>
  <si>
    <t>مرتجع انتاج كزبره صناعى وادى دجله من لو2525 من امر 144</t>
  </si>
  <si>
    <t xml:space="preserve">متبقى كزبره حب  ممدوح الناظر من لوط 2201 اذن 136754 </t>
  </si>
  <si>
    <t xml:space="preserve">متبقى اورجانو مستورد ل حسام الفيوم من لوط 2401 </t>
  </si>
  <si>
    <t>مرتجع انتاج شطفه اورجانو  مستورد ل حسام من لوط2401</t>
  </si>
  <si>
    <t>مرتجع انتاج بقدونس كيرلى وادى دجله بها ورقه صفرا +ناعمه من امر 162</t>
  </si>
  <si>
    <t>شطفه طحن كزبره حب من امر 150</t>
  </si>
  <si>
    <t>مرتجع انتاج كزبره صناعى وادى دجله من لوط2526 من امر 174</t>
  </si>
  <si>
    <t xml:space="preserve">متبقى سبانخ وادى دجله لوط2504 </t>
  </si>
  <si>
    <t>مرتجع انتاج سبانخ خام وادى دجله لوط 2402 من امر 204</t>
  </si>
  <si>
    <t>مرتجع مجهز انتاج سبانخ من امر شغل 204</t>
  </si>
  <si>
    <t>المنتج</t>
  </si>
  <si>
    <t>شيح</t>
  </si>
  <si>
    <t>كركديه</t>
  </si>
  <si>
    <t>كلانديولا</t>
  </si>
  <si>
    <t>بلوكورن</t>
  </si>
  <si>
    <t>فرباسكى</t>
  </si>
  <si>
    <t>نعناع</t>
  </si>
  <si>
    <t>نعناع فلفلى</t>
  </si>
  <si>
    <t>ريحان</t>
  </si>
  <si>
    <t>شبت طبيعى</t>
  </si>
  <si>
    <t>شبت صناعى</t>
  </si>
  <si>
    <t>بقدونس طبيعى</t>
  </si>
  <si>
    <t>بقدونس صناعى</t>
  </si>
  <si>
    <t>كزبره ورق صناعى</t>
  </si>
  <si>
    <t>مرمريه</t>
  </si>
  <si>
    <t>حنه</t>
  </si>
  <si>
    <t>روزمارى</t>
  </si>
  <si>
    <t>ملوخيه</t>
  </si>
  <si>
    <t>حشيشة ليمون</t>
  </si>
  <si>
    <t>أورجانو</t>
  </si>
  <si>
    <t>سافورى</t>
  </si>
  <si>
    <t>شمر</t>
  </si>
  <si>
    <t>كزبره حب</t>
  </si>
  <si>
    <t>كراويه</t>
  </si>
  <si>
    <t>حبة البركه</t>
  </si>
  <si>
    <t>بصل صناعى</t>
  </si>
  <si>
    <t xml:space="preserve">ثوم </t>
  </si>
  <si>
    <t>كرفس</t>
  </si>
  <si>
    <t>هيربميكس</t>
  </si>
  <si>
    <t>ليمون</t>
  </si>
  <si>
    <t>كمون</t>
  </si>
  <si>
    <t>ورق لورا</t>
  </si>
  <si>
    <t>ورق زيتون</t>
  </si>
  <si>
    <t>حبوب قمح</t>
  </si>
  <si>
    <t>التحاليل</t>
  </si>
  <si>
    <t>عاده</t>
  </si>
  <si>
    <t>أورجانيك</t>
  </si>
  <si>
    <t>تحت التحليل</t>
  </si>
  <si>
    <t>ساقط</t>
  </si>
  <si>
    <t>أوروبا</t>
  </si>
  <si>
    <t>التعبئه</t>
  </si>
  <si>
    <t>بلاستيك</t>
  </si>
  <si>
    <t>كرتون</t>
  </si>
  <si>
    <t>دمور</t>
  </si>
  <si>
    <t>خيش</t>
  </si>
  <si>
    <t>ورق</t>
  </si>
  <si>
    <t>الحاله</t>
  </si>
  <si>
    <t>لاغى</t>
  </si>
  <si>
    <t>مرتجع</t>
  </si>
  <si>
    <t>المواصفات</t>
  </si>
  <si>
    <t>خام</t>
  </si>
  <si>
    <t>كرات</t>
  </si>
  <si>
    <t>بذور كتان</t>
  </si>
  <si>
    <t>فلفل اسود</t>
  </si>
  <si>
    <t>بذور بنجر</t>
  </si>
  <si>
    <t>مجروش</t>
  </si>
  <si>
    <t>زهر</t>
  </si>
  <si>
    <t>حب</t>
  </si>
  <si>
    <t>مطحون (شيح)</t>
  </si>
  <si>
    <t>بودر</t>
  </si>
  <si>
    <t>سكلات</t>
  </si>
  <si>
    <t>بتلات</t>
  </si>
  <si>
    <t>كسر سكلات</t>
  </si>
  <si>
    <t>سخن</t>
  </si>
  <si>
    <t>سكلات بيضاء</t>
  </si>
  <si>
    <t>شرائح</t>
  </si>
  <si>
    <t>مطحون</t>
  </si>
  <si>
    <t>جرانيولز</t>
  </si>
  <si>
    <t>مينسد</t>
  </si>
  <si>
    <t>مدحت محمد حسن</t>
  </si>
  <si>
    <t>Cumin seeds</t>
  </si>
  <si>
    <t>بلاستك</t>
  </si>
  <si>
    <t>lot 2511</t>
  </si>
  <si>
    <t>lot 2512</t>
  </si>
  <si>
    <t>lot 2513</t>
  </si>
  <si>
    <t>lot 2532</t>
  </si>
  <si>
    <t>lot 2548</t>
  </si>
  <si>
    <t>الرقم 000355</t>
  </si>
  <si>
    <t>لاتصرف الا بمعرفه الاداره لوجود بلاستيك به</t>
  </si>
  <si>
    <t>مرتجع انتاج بقدونس كيرلى من امر 132 لوط 2217</t>
  </si>
  <si>
    <t>تم الصرف اذن 2798 امر163</t>
  </si>
  <si>
    <t>يوم 27/9/2025</t>
  </si>
  <si>
    <t>مرتجع انتاج بقدونس كيرلى من امر 132 لوط 2227</t>
  </si>
  <si>
    <t>تم صرف اذن 2899 امر500</t>
  </si>
  <si>
    <t>تم الصرف يوم 24-12-2025</t>
  </si>
  <si>
    <t>متبقى من عفش نعناع لوط 2301 م.ع</t>
  </si>
  <si>
    <t>تم الصرف للعلامه اذن 2744 امر 145</t>
  </si>
  <si>
    <t>يوم 26/8/2025</t>
  </si>
  <si>
    <t>مرتجع انتاج بقدونس كيرلى مزارع دينا من امر 173</t>
  </si>
  <si>
    <t>مرتجع انتاج شمر عادة اذن 137851من امر172\ (حبايه سوداء)</t>
  </si>
  <si>
    <t xml:space="preserve">تم الصرف اذن2732 امر 138 </t>
  </si>
  <si>
    <t>يوم 19/8/2025   + تم الصرف ع الدلتا</t>
  </si>
  <si>
    <t xml:space="preserve">مرتجع ريحان عادة من امر 69 ح.م لوط 2406 </t>
  </si>
  <si>
    <t>تم صرف اذن 2840 امر186</t>
  </si>
  <si>
    <t>يوم 3/11/2025</t>
  </si>
  <si>
    <t xml:space="preserve"> بقدونس صناعى فلات وادى دجله 2024 مخلط من امر 106</t>
  </si>
  <si>
    <t>تم صرف 1411 قبل النسبه وبعد النسبه 818 امر 111  اذن 3294\تم صرف 180 قبل و 104 بعد \صرف 100 شوال وزن 1694 قبل و 982 بعد اذن 3357  امر 143 وصرف لامر 143 تانى وزن قبل 4335 ك وبعد النسبه 2514 ك\صرف 4870 قبل و 2824 بعد النسبه  امر 143</t>
  </si>
  <si>
    <t xml:space="preserve">صرف مبيعات محليه 253 شوال  وزن 4414 قايم و قبل النسبه 4370  وبعد 2753\وصرف 25 شوال وزن قايم 432 وقبل النسبه 428 وبعد 269 اذن 3350\منصرف 236 شوال اذن 3384 مبيعات محليه وزن 4401 قبل النسبه  و 2376 بعد </t>
  </si>
  <si>
    <t>شمر عادة ا.ع لوط 2401</t>
  </si>
  <si>
    <t>تم الصرف اذن 2750 امر 138</t>
  </si>
  <si>
    <t>يوم 30/8/2025</t>
  </si>
  <si>
    <t xml:space="preserve"> شطفه شبت صناعى وادى دجله </t>
  </si>
  <si>
    <t>/تم  صرف 40 شوال و 478 قبل النسبه وبعد النسبه 47.80 اذن 2546 امر 76/ تم صرف 189 شوال قبل وبعد  المعدل 2854اذن 2548 امر 76</t>
  </si>
  <si>
    <t>شطفه فوق 2 م</t>
  </si>
  <si>
    <t>شطفه تحت 2 م</t>
  </si>
  <si>
    <t>21/6/20225</t>
  </si>
  <si>
    <t>مرتجع ريحان حيوى باسم حنا متبقى من لوط 2416 من امر 18</t>
  </si>
  <si>
    <t xml:space="preserve">خام / تم الصرف على المزرعه اذن 2868 امر 200 </t>
  </si>
  <si>
    <t>R5</t>
  </si>
  <si>
    <t>يوم26/11/2025</t>
  </si>
  <si>
    <t>مرتجع انتاج كزبره صناعى مزارع دينا من لوط 2504</t>
  </si>
  <si>
    <t>تم الصرف للانتاج اذن2652 امر 104</t>
  </si>
  <si>
    <t>تم الصرف يوم 30/6/2025</t>
  </si>
  <si>
    <t>مرتجع انتاج بقدونس كيرلى شركه سيجما  من لوط 2501 من امر 107</t>
  </si>
  <si>
    <t>تم الصرف اذن 2693   امر   119</t>
  </si>
  <si>
    <t>R2</t>
  </si>
  <si>
    <t>تم الصرف يوم 22/7/2025</t>
  </si>
  <si>
    <t xml:space="preserve">مرتجع شبت صناعى تحت التشغيل </t>
  </si>
  <si>
    <t>تم الصرف اذن2789 امر 158/2025</t>
  </si>
  <si>
    <t>تم الصرف يوم 18/9/2025</t>
  </si>
  <si>
    <t>مرتجع انتاج ريحان مجروش احمد اشمنت لوط 2523 من امر 133</t>
  </si>
  <si>
    <t>تم الصرف اذن 2831 امر 181 يوم 26/10/2025</t>
  </si>
  <si>
    <t>تم خصم ك  من الوزن كان 4650 وتم خصم 250</t>
  </si>
  <si>
    <t>مرتجع انتاج شطفه نعناع من امر 161/2025</t>
  </si>
  <si>
    <t>تم الصرف اذن 2801 امر 167</t>
  </si>
  <si>
    <t>يوم 30/9/2025</t>
  </si>
  <si>
    <t>مرتجع انتاج نعناع من امر 161/2025</t>
  </si>
  <si>
    <t>مرتجع  انتاج زعتر سمير شحاته من لوط 2501 من امر 2025/159</t>
  </si>
  <si>
    <t>تم الصرف اذن 2827 امر 179</t>
  </si>
  <si>
    <t>يوم 20/10/2025 تم الصرف ع الهايد</t>
  </si>
  <si>
    <t>مرتجع انتاج ريحان مجروش احمد اشمنت لوط 2542 امر 211</t>
  </si>
  <si>
    <t>مرتجع انتاج بقدونس طبيعى هانى عدلى من لوط2501 من امر217</t>
  </si>
  <si>
    <t>تم صرف اذن 2894 امر217</t>
  </si>
  <si>
    <t>منصرف يوم 18/12/2025</t>
  </si>
  <si>
    <t xml:space="preserve">تم الصرف يوم 1-1-2026 </t>
  </si>
  <si>
    <t>تشغيل رمضان المنشيه</t>
  </si>
  <si>
    <t>تنده</t>
  </si>
  <si>
    <t>تم اضافه كزبره صناعى مرتجع انتاج وادى وزن2039ك وعدد170 على رصه230
ف تعديل العدد من 210الى 380 وتعديل الوزن من 2788ك الى 4827 ك يوم 1-1-2026</t>
  </si>
  <si>
    <t>211+1</t>
  </si>
  <si>
    <t>تم صرف 86ش بوزن 1634 ك وقبل 1548 وبعد 1207 اذن 2889 يوم 15/12/2025 امر211-  تم صرف 231 ش وقبل النسبه 4185 وبعد النسبه 3264 اذن 2904 يوم 1-1-2026 امر1</t>
  </si>
  <si>
    <t>اذن 2904 امر1</t>
  </si>
  <si>
    <t>174+221</t>
  </si>
  <si>
    <t>رقم 000308/ تم صرف 104 شوال بوزن 688ك خصم بسكال 1% وقبل النسبه 681 وبعد النسبه 443 اذن 2817 يوم 14/10/2025 امر 174- تم صرف 96ش وقبل النسبه 591 وبعد 384 اذن 2903 يوم 1-1-2026 امر221-2025</t>
  </si>
  <si>
    <t>اذن 2903 امر221-2025</t>
  </si>
  <si>
    <t>اذن 2907 امر221-2025</t>
  </si>
  <si>
    <t>الرقم 000357-000359-000358</t>
  </si>
  <si>
    <t>الرقم 000358-000361-000360</t>
  </si>
  <si>
    <t>الرقم 000361</t>
  </si>
  <si>
    <t>عزت عدلى</t>
  </si>
  <si>
    <t>محمد لملوم</t>
  </si>
  <si>
    <t>بضاعه 16ك  خوارج 4ك</t>
  </si>
  <si>
    <t>الرقم 000320/الرقم 00319/الرقم 000321/12 /تم صرف 300 ش بوزن 5630 خصم 50ك بسكال  وقبل النسبه5580 وبعد النسبه 2734 اذن2880 يوم 9/12/2025 امر 212
تم صرف 471 ش وقبل النسبه 7906 ك وبعد النسبه 3873 ك اذن 2911  يوم 11-1-2026 امر4</t>
  </si>
  <si>
    <t>212+4</t>
  </si>
  <si>
    <t>تشغيل خارجى محمد جمال</t>
  </si>
  <si>
    <t>الرقم 000363 -000364-000365</t>
  </si>
  <si>
    <t>بطن الفانشر الرقم 000363</t>
  </si>
  <si>
    <t>رمضان المنشيه</t>
  </si>
  <si>
    <t>الرقم 000366</t>
  </si>
  <si>
    <t>الرقم 000367</t>
  </si>
  <si>
    <t>تشغيل خارجى رمضان المنشيه</t>
  </si>
  <si>
    <t>تم تعديل العدد من 380 الى 210 والوزن من 4827 الى 2788ك يوم 20-1-2026</t>
  </si>
  <si>
    <t>تم الصرف للانتاج</t>
  </si>
  <si>
    <t>Order Num.</t>
  </si>
  <si>
    <t>Search By</t>
  </si>
  <si>
    <t>Totals</t>
  </si>
  <si>
    <t>Info :</t>
  </si>
  <si>
    <t>Release Date</t>
  </si>
  <si>
    <t>Release Status</t>
  </si>
  <si>
    <t>Release Num.</t>
  </si>
  <si>
    <t>التنده</t>
  </si>
  <si>
    <t>تم صرف 164ش بوزن 4950ك خصم 1%بسكال قبل النسبه 4900 وبعد النسبه 4772ك اذن 2902 يوم 25-12-2025 l c s  احمد محمود 
تم صرف 202 ش بوزن 6095 ك الصافى 202*30ك=6060ك ااذن 2912 يوم 11-1-2026  lcs احمد محمود و
تم صرف 167 ش بوزن 5060 ك خصم 1% بسكال قبل وبعد النسبه 5010 ك اذن 2932 يوم 29-1-2026  ics احمد محمود</t>
  </si>
  <si>
    <t>29-1-2026</t>
  </si>
  <si>
    <t>25-1-2026</t>
  </si>
  <si>
    <t>28/12/2024</t>
  </si>
  <si>
    <t>31/1/2026</t>
  </si>
  <si>
    <t>بضاعه فضى</t>
  </si>
  <si>
    <t>تم الصرف</t>
  </si>
  <si>
    <t xml:space="preserve">به نسبه اصفر بكثرة\الرقم 000411\تم الخلط مع لوط 2436/ بعد التخليط تغير المعدل الى 55.1 </t>
  </si>
  <si>
    <t>تم الصرف 2933 يوم 1-2/2026 امر</t>
  </si>
  <si>
    <t xml:space="preserve">لااغى يوم 1-2-2026 </t>
  </si>
  <si>
    <t>بلدى</t>
  </si>
  <si>
    <t>تم الصرف للعلالمه</t>
  </si>
  <si>
    <t>مرتجع انتاج شطفه بقدونس طبيعى هانى عدلى من اذن 139866 لوط2501 من امر 217</t>
  </si>
  <si>
    <t>تم الصرف اذن 2937 يوم 3/2/2026 امر23</t>
  </si>
  <si>
    <t>كزبره طبيعى</t>
  </si>
  <si>
    <t>Cilantro sD</t>
  </si>
  <si>
    <t>بذره سنتوريا</t>
  </si>
  <si>
    <t>centaurea cyauns</t>
  </si>
  <si>
    <t>بذره كرفس</t>
  </si>
  <si>
    <t>celery seeds</t>
  </si>
  <si>
    <t>غير مجهزه</t>
  </si>
  <si>
    <t>الرقم 000015</t>
  </si>
  <si>
    <t>الرقم 000012 الرقم000011</t>
  </si>
  <si>
    <t>الرقم 000013الرقم 000012</t>
  </si>
  <si>
    <t>14+</t>
  </si>
  <si>
    <t>تم صرف 50ش وقبل النسبه 1091 ك وبعد النسبه 818 ك اذن 2941  يوم 4/2/2026 امر 24  /الرقم 000276/ تم صرف 20ش وقبل 428 ك وبعد النسبه 321ك اذن 2941 يوم 4/2/2026 امر24</t>
  </si>
  <si>
    <t>24+</t>
  </si>
  <si>
    <t>مرتجع انتاج خوارج زعتر وادى دجله لوط 2501  اذن 139679 من امر 24</t>
  </si>
  <si>
    <t xml:space="preserve">تم تعديل العدد من 220 الى 390 وتعديل الوزن من 2650 الى 4689 ك يوم 20-1-2026
مرتجع  كزبره صناعى وادى دجله  يوم 31/12/2025 مضافه على الرصه دى وزن 2039 ك و 170ش من امر 221 عشان مادونا لو سالت تاخدها لوحدها </t>
  </si>
  <si>
    <t xml:space="preserve"> Lot Num.</t>
  </si>
  <si>
    <t>تم الصرف اذن 2944 يوم 5/2/2026 امر</t>
  </si>
  <si>
    <t>تم اضاف 30ش و634 ك يوم 5/2/2026</t>
  </si>
  <si>
    <t>مرتجع انتاج شطفه ريحان باسم اسيو ط من لوط 2518 من امر 14</t>
  </si>
  <si>
    <t xml:space="preserve">تم صرف للانتاج 55 ش بوزن 851 ك قبل النسبه وبعد النسبه496 ك يوم 21-1-2026  اذن 2925 امر 14 /تم صرف 77ش قبل 1329 ك وبعد النسبه 776 ك اذن 2943 يوم 4/2/2026 امر14/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</si>
</sst>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mm/dd/yy;@"/>
    <numFmt numFmtId="165" formatCode="0.0%"/>
    <numFmt numFmtId="166" formatCode="0.000"/>
    <numFmt numFmtId="167" formatCode="[$-409]dd\-mmm\-yy;@"/>
    <numFmt numFmtId="168" formatCode="\L\o\t\ 000"/>
  </numFmts>
  <fonts count="3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5"/>
      <color rgb="FFFFFF0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22"/>
      <color theme="1" tint="4.9989318521683403E-2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 tint="4.9989318521683403E-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Aptos"/>
      <family val="2"/>
    </font>
    <font>
      <b/>
      <i/>
      <sz val="12"/>
      <color theme="0"/>
      <name val="Comic Sans MS"/>
      <family val="4"/>
    </font>
    <font>
      <b/>
      <sz val="12"/>
      <color theme="0"/>
      <name val="Aptos"/>
      <family val="2"/>
    </font>
    <font>
      <b/>
      <i/>
      <sz val="12"/>
      <color theme="1"/>
      <name val="Franklin Gothic Medium"/>
      <family val="2"/>
    </font>
    <font>
      <b/>
      <i/>
      <sz val="12"/>
      <name val="Aptos"/>
      <family val="2"/>
    </font>
    <font>
      <b/>
      <i/>
      <sz val="14"/>
      <name val="Aptos"/>
      <family val="2"/>
    </font>
    <font>
      <b/>
      <i/>
      <sz val="16"/>
      <name val="Aptos"/>
      <family val="2"/>
    </font>
    <font>
      <b/>
      <i/>
      <sz val="18"/>
      <name val="Aptos"/>
      <family val="2"/>
    </font>
    <font>
      <b/>
      <i/>
      <u val="double"/>
      <sz val="14"/>
      <name val="Aptos"/>
      <family val="2"/>
    </font>
    <font>
      <sz val="12"/>
      <name val="Aptos"/>
      <family val="2"/>
    </font>
    <font>
      <b/>
      <sz val="12"/>
      <name val="Aptos"/>
      <family val="2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rgb="FF21212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gradientFill degree="90">
        <stop position="0">
          <color theme="9" tint="-0.25098422193060094"/>
        </stop>
        <stop position="0.5">
          <color theme="9" tint="-0.49803155613879818"/>
        </stop>
        <stop position="1">
          <color theme="9" tint="-0.25098422193060094"/>
        </stop>
      </gradientFill>
    </fill>
    <fill>
      <patternFill patternType="solid">
        <fgColor theme="9" tint="0.79998168889431442"/>
        <bgColor indexed="64"/>
      </patternFill>
    </fill>
    <fill>
      <gradientFill degree="90">
        <stop position="0">
          <color theme="9" tint="-0.25098422193060094"/>
        </stop>
        <stop position="0.5">
          <color theme="9" tint="0.40000610370189521"/>
        </stop>
        <stop position="1">
          <color theme="9" tint="-0.25098422193060094"/>
        </stop>
      </gradientFill>
    </fill>
    <fill>
      <patternFill patternType="solid">
        <fgColor theme="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1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thin">
        <color theme="1"/>
      </top>
      <bottom style="thin">
        <color theme="4" tint="-0.499984740745262"/>
      </bottom>
      <diagonal/>
    </border>
    <border>
      <left style="thin">
        <color theme="4" tint="-0.499984740745262"/>
      </left>
      <right/>
      <top style="thin">
        <color theme="1"/>
      </top>
      <bottom style="thin">
        <color theme="4" tint="-0.499984740745262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/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/>
      <diagonal/>
    </border>
    <border>
      <left style="thin">
        <color theme="4" tint="-0.499984740745262"/>
      </left>
      <right/>
      <top style="thin">
        <color theme="4" tint="-0.499984740745262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219">
    <xf numFmtId="0" fontId="0" fillId="0" borderId="0" xfId="0"/>
    <xf numFmtId="0" fontId="0" fillId="0" borderId="1" xfId="0" applyBorder="1"/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0" fillId="3" borderId="0" xfId="0" applyFill="1"/>
    <xf numFmtId="9" fontId="1" fillId="2" borderId="3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1" fillId="2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9" fontId="1" fillId="0" borderId="0" xfId="0" applyNumberFormat="1" applyFont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164" fontId="0" fillId="6" borderId="0" xfId="0" applyNumberFormat="1" applyFill="1" applyAlignment="1">
      <alignment horizontal="center" vertical="center"/>
    </xf>
    <xf numFmtId="0" fontId="6" fillId="8" borderId="12" xfId="0" applyFont="1" applyFill="1" applyBorder="1" applyAlignment="1">
      <alignment horizontal="center" vertical="center"/>
    </xf>
    <xf numFmtId="164" fontId="6" fillId="9" borderId="12" xfId="0" applyNumberFormat="1" applyFont="1" applyFill="1" applyBorder="1" applyAlignment="1">
      <alignment horizontal="center" vertical="center"/>
    </xf>
    <xf numFmtId="0" fontId="6" fillId="9" borderId="12" xfId="0" applyFont="1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164" fontId="0" fillId="10" borderId="0" xfId="0" applyNumberFormat="1" applyFill="1" applyAlignment="1">
      <alignment horizontal="center" vertical="center"/>
    </xf>
    <xf numFmtId="0" fontId="0" fillId="10" borderId="0" xfId="0" applyFill="1" applyAlignment="1">
      <alignment horizontal="center"/>
    </xf>
    <xf numFmtId="0" fontId="0" fillId="8" borderId="1" xfId="0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0" xfId="0" applyFill="1" applyAlignment="1">
      <alignment horizontal="center"/>
    </xf>
    <xf numFmtId="164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4" fontId="0" fillId="7" borderId="1" xfId="0" applyNumberFormat="1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8" fillId="8" borderId="1" xfId="0" applyFont="1" applyFill="1" applyBorder="1" applyAlignment="1">
      <alignment vertical="center"/>
    </xf>
    <xf numFmtId="0" fontId="8" fillId="9" borderId="1" xfId="0" applyFont="1" applyFill="1" applyBorder="1" applyAlignment="1">
      <alignment vertical="center"/>
    </xf>
    <xf numFmtId="0" fontId="8" fillId="9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" fontId="0" fillId="0" borderId="1" xfId="0" applyNumberFormat="1" applyBorder="1"/>
    <xf numFmtId="0" fontId="0" fillId="7" borderId="1" xfId="0" applyFill="1" applyBorder="1"/>
    <xf numFmtId="9" fontId="0" fillId="0" borderId="1" xfId="0" applyNumberFormat="1" applyBorder="1"/>
    <xf numFmtId="0" fontId="3" fillId="5" borderId="1" xfId="0" applyFont="1" applyFill="1" applyBorder="1" applyAlignment="1">
      <alignment horizontal="center" vertical="center"/>
    </xf>
    <xf numFmtId="16" fontId="0" fillId="5" borderId="1" xfId="0" applyNumberFormat="1" applyFill="1" applyBorder="1"/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9" fontId="0" fillId="5" borderId="1" xfId="0" applyNumberFormat="1" applyFill="1" applyBorder="1"/>
    <xf numFmtId="0" fontId="0" fillId="5" borderId="1" xfId="0" applyFill="1" applyBorder="1" applyAlignment="1">
      <alignment horizontal="center" vertical="center"/>
    </xf>
    <xf numFmtId="0" fontId="0" fillId="7" borderId="0" xfId="0" applyFill="1"/>
    <xf numFmtId="0" fontId="5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14" fontId="0" fillId="11" borderId="1" xfId="0" applyNumberFormat="1" applyFill="1" applyBorder="1"/>
    <xf numFmtId="0" fontId="0" fillId="11" borderId="1" xfId="0" applyFill="1" applyBorder="1"/>
    <xf numFmtId="0" fontId="0" fillId="11" borderId="1" xfId="0" applyFill="1" applyBorder="1" applyAlignment="1">
      <alignment horizontal="center"/>
    </xf>
    <xf numFmtId="9" fontId="0" fillId="11" borderId="1" xfId="0" applyNumberFormat="1" applyFill="1" applyBorder="1"/>
    <xf numFmtId="0" fontId="0" fillId="11" borderId="1" xfId="0" applyFill="1" applyBorder="1" applyAlignment="1">
      <alignment horizontal="center" vertical="center"/>
    </xf>
    <xf numFmtId="0" fontId="3" fillId="8" borderId="13" xfId="0" applyFont="1" applyFill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 wrapText="1"/>
    </xf>
    <xf numFmtId="0" fontId="10" fillId="0" borderId="0" xfId="0" applyFont="1"/>
    <xf numFmtId="0" fontId="11" fillId="12" borderId="1" xfId="0" applyFont="1" applyFill="1" applyBorder="1" applyAlignment="1">
      <alignment horizontal="center"/>
    </xf>
    <xf numFmtId="0" fontId="11" fillId="4" borderId="10" xfId="0" applyFont="1" applyFill="1" applyBorder="1" applyAlignment="1">
      <alignment horizontal="center"/>
    </xf>
    <xf numFmtId="0" fontId="11" fillId="0" borderId="0" xfId="0" applyFont="1"/>
    <xf numFmtId="0" fontId="11" fillId="13" borderId="1" xfId="0" applyFont="1" applyFill="1" applyBorder="1" applyAlignment="1">
      <alignment horizontal="center"/>
    </xf>
    <xf numFmtId="0" fontId="11" fillId="14" borderId="1" xfId="0" applyFont="1" applyFill="1" applyBorder="1" applyAlignment="1">
      <alignment horizontal="center"/>
    </xf>
    <xf numFmtId="0" fontId="11" fillId="15" borderId="1" xfId="0" applyFont="1" applyFill="1" applyBorder="1" applyAlignment="1">
      <alignment horizontal="center"/>
    </xf>
    <xf numFmtId="0" fontId="11" fillId="16" borderId="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/>
    </xf>
    <xf numFmtId="0" fontId="12" fillId="12" borderId="1" xfId="0" applyFont="1" applyFill="1" applyBorder="1" applyAlignment="1">
      <alignment horizontal="center"/>
    </xf>
    <xf numFmtId="0" fontId="12" fillId="4" borderId="11" xfId="0" applyFont="1" applyFill="1" applyBorder="1" applyAlignment="1">
      <alignment horizontal="center"/>
    </xf>
    <xf numFmtId="0" fontId="12" fillId="0" borderId="0" xfId="0" applyFont="1"/>
    <xf numFmtId="0" fontId="12" fillId="13" borderId="1" xfId="0" applyFont="1" applyFill="1" applyBorder="1" applyAlignment="1">
      <alignment horizontal="center"/>
    </xf>
    <xf numFmtId="0" fontId="12" fillId="14" borderId="1" xfId="0" applyFont="1" applyFill="1" applyBorder="1" applyAlignment="1">
      <alignment horizontal="center"/>
    </xf>
    <xf numFmtId="0" fontId="12" fillId="15" borderId="1" xfId="0" applyFont="1" applyFill="1" applyBorder="1" applyAlignment="1">
      <alignment horizontal="center"/>
    </xf>
    <xf numFmtId="0" fontId="12" fillId="16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16" fontId="5" fillId="5" borderId="1" xfId="0" applyNumberFormat="1" applyFont="1" applyFill="1" applyBorder="1"/>
    <xf numFmtId="9" fontId="5" fillId="5" borderId="1" xfId="0" applyNumberFormat="1" applyFont="1" applyFill="1" applyBorder="1"/>
    <xf numFmtId="0" fontId="5" fillId="5" borderId="0" xfId="0" applyFont="1" applyFill="1"/>
    <xf numFmtId="0" fontId="0" fillId="5" borderId="0" xfId="0" applyFill="1"/>
    <xf numFmtId="10" fontId="0" fillId="11" borderId="1" xfId="0" applyNumberFormat="1" applyFill="1" applyBorder="1"/>
    <xf numFmtId="0" fontId="0" fillId="11" borderId="0" xfId="0" applyFill="1"/>
    <xf numFmtId="0" fontId="3" fillId="5" borderId="13" xfId="0" applyFont="1" applyFill="1" applyBorder="1" applyAlignment="1">
      <alignment horizontal="center" vertical="center"/>
    </xf>
    <xf numFmtId="14" fontId="0" fillId="5" borderId="1" xfId="0" applyNumberFormat="1" applyFill="1" applyBorder="1"/>
    <xf numFmtId="10" fontId="0" fillId="5" borderId="1" xfId="0" applyNumberFormat="1" applyFill="1" applyBorder="1"/>
    <xf numFmtId="14" fontId="0" fillId="0" borderId="1" xfId="0" applyNumberFormat="1" applyBorder="1" applyAlignment="1">
      <alignment horizontal="center" vertical="center"/>
    </xf>
    <xf numFmtId="9" fontId="0" fillId="0" borderId="1" xfId="1" applyFont="1" applyFill="1" applyBorder="1" applyAlignment="1">
      <alignment horizontal="center" vertical="center"/>
    </xf>
    <xf numFmtId="0" fontId="0" fillId="14" borderId="0" xfId="0" applyFill="1"/>
    <xf numFmtId="165" fontId="0" fillId="0" borderId="1" xfId="1" applyNumberFormat="1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14" fontId="15" fillId="0" borderId="0" xfId="0" applyNumberFormat="1" applyFont="1" applyAlignment="1">
      <alignment horizontal="center" vertical="center"/>
    </xf>
    <xf numFmtId="9" fontId="15" fillId="0" borderId="0" xfId="1" applyFont="1" applyAlignment="1">
      <alignment horizontal="center" vertical="center"/>
    </xf>
    <xf numFmtId="9" fontId="15" fillId="0" borderId="0" xfId="1" applyFont="1" applyBorder="1" applyAlignment="1">
      <alignment horizontal="center" vertical="center"/>
    </xf>
    <xf numFmtId="9" fontId="0" fillId="0" borderId="15" xfId="1" applyFont="1" applyFill="1" applyBorder="1" applyAlignment="1">
      <alignment horizontal="center" vertical="center"/>
    </xf>
    <xf numFmtId="14" fontId="0" fillId="0" borderId="0" xfId="0" applyNumberFormat="1"/>
    <xf numFmtId="1" fontId="0" fillId="0" borderId="1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9" fontId="0" fillId="0" borderId="2" xfId="1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9" fontId="0" fillId="0" borderId="1" xfId="1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9" fontId="0" fillId="0" borderId="2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9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43" fontId="15" fillId="0" borderId="0" xfId="2" applyFont="1" applyBorder="1" applyAlignment="1">
      <alignment horizontal="center" vertical="center"/>
    </xf>
    <xf numFmtId="43" fontId="15" fillId="0" borderId="0" xfId="2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22" fillId="17" borderId="0" xfId="0" applyFont="1" applyFill="1" applyAlignment="1">
      <alignment horizontal="left" vertical="top"/>
    </xf>
    <xf numFmtId="0" fontId="22" fillId="17" borderId="0" xfId="0" applyFont="1" applyFill="1" applyAlignment="1">
      <alignment vertical="top"/>
    </xf>
    <xf numFmtId="0" fontId="23" fillId="17" borderId="0" xfId="0" applyFont="1" applyFill="1" applyAlignment="1">
      <alignment vertical="top"/>
    </xf>
    <xf numFmtId="0" fontId="19" fillId="17" borderId="0" xfId="0" applyFont="1" applyFill="1"/>
    <xf numFmtId="0" fontId="24" fillId="17" borderId="0" xfId="0" applyFont="1" applyFill="1"/>
    <xf numFmtId="0" fontId="20" fillId="17" borderId="0" xfId="0" applyFont="1" applyFill="1"/>
    <xf numFmtId="43" fontId="19" fillId="17" borderId="0" xfId="2" applyFont="1" applyFill="1" applyBorder="1" applyAlignment="1"/>
    <xf numFmtId="9" fontId="25" fillId="17" borderId="0" xfId="1" applyFont="1" applyFill="1" applyBorder="1" applyAlignment="1"/>
    <xf numFmtId="14" fontId="24" fillId="17" borderId="0" xfId="0" applyNumberFormat="1" applyFont="1" applyFill="1"/>
    <xf numFmtId="0" fontId="24" fillId="17" borderId="0" xfId="0" applyFont="1" applyFill="1" applyAlignment="1">
      <alignment wrapText="1"/>
    </xf>
    <xf numFmtId="0" fontId="22" fillId="17" borderId="0" xfId="0" applyFont="1" applyFill="1" applyAlignment="1">
      <alignment vertical="top" wrapText="1"/>
    </xf>
    <xf numFmtId="0" fontId="22" fillId="17" borderId="11" xfId="0" applyFont="1" applyFill="1" applyBorder="1" applyAlignment="1">
      <alignment vertical="top" wrapText="1"/>
    </xf>
    <xf numFmtId="0" fontId="17" fillId="18" borderId="15" xfId="0" applyFont="1" applyFill="1" applyBorder="1" applyAlignment="1">
      <alignment horizontal="center" vertical="center" wrapText="1"/>
    </xf>
    <xf numFmtId="14" fontId="17" fillId="18" borderId="15" xfId="0" applyNumberFormat="1" applyFont="1" applyFill="1" applyBorder="1" applyAlignment="1">
      <alignment horizontal="center" vertical="center" wrapText="1"/>
    </xf>
    <xf numFmtId="43" fontId="17" fillId="18" borderId="15" xfId="2" applyFont="1" applyFill="1" applyBorder="1" applyAlignment="1">
      <alignment horizontal="center" vertical="center" wrapText="1"/>
    </xf>
    <xf numFmtId="9" fontId="17" fillId="18" borderId="15" xfId="1" applyFont="1" applyFill="1" applyBorder="1" applyAlignment="1">
      <alignment horizontal="center" vertical="center" wrapText="1"/>
    </xf>
    <xf numFmtId="0" fontId="16" fillId="19" borderId="16" xfId="0" applyFont="1" applyFill="1" applyBorder="1" applyAlignment="1">
      <alignment horizontal="left" vertical="center"/>
    </xf>
    <xf numFmtId="0" fontId="15" fillId="20" borderId="0" xfId="0" applyFont="1" applyFill="1" applyAlignment="1">
      <alignment horizontal="center" vertical="center"/>
    </xf>
    <xf numFmtId="14" fontId="15" fillId="20" borderId="0" xfId="0" applyNumberFormat="1" applyFont="1" applyFill="1" applyAlignment="1">
      <alignment horizontal="center" vertical="center"/>
    </xf>
    <xf numFmtId="0" fontId="15" fillId="20" borderId="0" xfId="0" applyFont="1" applyFill="1" applyAlignment="1">
      <alignment horizontal="center" vertical="center" wrapText="1"/>
    </xf>
    <xf numFmtId="43" fontId="15" fillId="20" borderId="0" xfId="2" applyFont="1" applyFill="1" applyAlignment="1">
      <alignment horizontal="center" vertical="center"/>
    </xf>
    <xf numFmtId="0" fontId="18" fillId="20" borderId="0" xfId="0" applyFont="1" applyFill="1" applyAlignment="1">
      <alignment horizontal="center" vertical="center" wrapText="1"/>
    </xf>
    <xf numFmtId="9" fontId="15" fillId="20" borderId="0" xfId="1" applyFont="1" applyFill="1" applyAlignment="1">
      <alignment horizontal="center" vertical="center"/>
    </xf>
    <xf numFmtId="0" fontId="18" fillId="22" borderId="0" xfId="0" applyFont="1" applyFill="1" applyAlignment="1">
      <alignment horizontal="center" vertical="center" wrapText="1"/>
    </xf>
    <xf numFmtId="0" fontId="15" fillId="17" borderId="0" xfId="0" applyFont="1" applyFill="1" applyAlignment="1">
      <alignment horizontal="center" vertical="center"/>
    </xf>
    <xf numFmtId="0" fontId="15" fillId="17" borderId="0" xfId="0" applyFont="1" applyFill="1" applyAlignment="1">
      <alignment horizontal="center"/>
    </xf>
    <xf numFmtId="14" fontId="0" fillId="0" borderId="1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16" fontId="0" fillId="0" borderId="1" xfId="0" applyNumberFormat="1" applyBorder="1" applyAlignment="1">
      <alignment horizontal="center" vertical="center"/>
    </xf>
    <xf numFmtId="0" fontId="0" fillId="4" borderId="6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16" fontId="5" fillId="0" borderId="1" xfId="0" applyNumberFormat="1" applyFont="1" applyBorder="1" applyAlignment="1">
      <alignment horizontal="center"/>
    </xf>
    <xf numFmtId="0" fontId="13" fillId="7" borderId="1" xfId="0" applyFont="1" applyFill="1" applyBorder="1" applyAlignment="1">
      <alignment horizontal="right" vertical="center"/>
    </xf>
    <xf numFmtId="0" fontId="13" fillId="7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right" vertical="center"/>
    </xf>
    <xf numFmtId="16" fontId="5" fillId="0" borderId="1" xfId="0" applyNumberFormat="1" applyFont="1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7" borderId="1" xfId="0" applyFont="1" applyFill="1" applyBorder="1"/>
    <xf numFmtId="9" fontId="5" fillId="0" borderId="1" xfId="0" applyNumberFormat="1" applyFont="1" applyBorder="1"/>
    <xf numFmtId="165" fontId="13" fillId="7" borderId="1" xfId="1" applyNumberFormat="1" applyFont="1" applyFill="1" applyBorder="1" applyAlignment="1">
      <alignment horizontal="center" vertical="center"/>
    </xf>
    <xf numFmtId="0" fontId="5" fillId="0" borderId="14" xfId="0" applyFont="1" applyBorder="1"/>
    <xf numFmtId="0" fontId="5" fillId="7" borderId="0" xfId="0" applyFont="1" applyFill="1"/>
    <xf numFmtId="166" fontId="5" fillId="0" borderId="1" xfId="0" applyNumberFormat="1" applyFont="1" applyBorder="1" applyAlignment="1">
      <alignment horizontal="center"/>
    </xf>
    <xf numFmtId="0" fontId="13" fillId="8" borderId="13" xfId="0" applyFont="1" applyFill="1" applyBorder="1" applyAlignment="1">
      <alignment horizontal="center" vertical="center"/>
    </xf>
    <xf numFmtId="14" fontId="5" fillId="0" borderId="1" xfId="0" applyNumberFormat="1" applyFont="1" applyBorder="1"/>
    <xf numFmtId="0" fontId="5" fillId="0" borderId="0" xfId="0" applyFont="1"/>
    <xf numFmtId="0" fontId="27" fillId="4" borderId="1" xfId="0" applyFont="1" applyFill="1" applyBorder="1" applyAlignment="1">
      <alignment horizontal="center" vertical="center"/>
    </xf>
    <xf numFmtId="0" fontId="28" fillId="7" borderId="1" xfId="0" applyFont="1" applyFill="1" applyBorder="1" applyAlignment="1">
      <alignment horizontal="center" vertical="center"/>
    </xf>
    <xf numFmtId="0" fontId="28" fillId="0" borderId="15" xfId="0" applyFont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28" fillId="4" borderId="1" xfId="0" applyFont="1" applyFill="1" applyBorder="1" applyAlignment="1">
      <alignment horizontal="center" vertical="center"/>
    </xf>
    <xf numFmtId="0" fontId="27" fillId="7" borderId="1" xfId="0" applyFont="1" applyFill="1" applyBorder="1" applyAlignment="1">
      <alignment horizontal="center" vertical="center"/>
    </xf>
    <xf numFmtId="0" fontId="30" fillId="22" borderId="1" xfId="0" applyFont="1" applyFill="1" applyBorder="1" applyAlignment="1">
      <alignment horizontal="center" vertical="center"/>
    </xf>
    <xf numFmtId="16" fontId="1" fillId="22" borderId="1" xfId="0" applyNumberFormat="1" applyFont="1" applyFill="1" applyBorder="1"/>
    <xf numFmtId="0" fontId="1" fillId="22" borderId="1" xfId="0" applyFont="1" applyFill="1" applyBorder="1"/>
    <xf numFmtId="0" fontId="1" fillId="22" borderId="1" xfId="0" applyFont="1" applyFill="1" applyBorder="1" applyAlignment="1">
      <alignment horizontal="center"/>
    </xf>
    <xf numFmtId="0" fontId="1" fillId="22" borderId="1" xfId="0" applyFont="1" applyFill="1" applyBorder="1" applyAlignment="1">
      <alignment horizontal="center" vertical="center"/>
    </xf>
    <xf numFmtId="0" fontId="29" fillId="22" borderId="0" xfId="0" applyFont="1" applyFill="1"/>
    <xf numFmtId="167" fontId="0" fillId="0" borderId="1" xfId="0" applyNumberFormat="1" applyBorder="1" applyAlignment="1">
      <alignment horizontal="center" vertical="center"/>
    </xf>
    <xf numFmtId="0" fontId="0" fillId="4" borderId="6" xfId="0" applyFill="1" applyBorder="1" applyAlignment="1">
      <alignment horizontal="center"/>
    </xf>
    <xf numFmtId="0" fontId="13" fillId="5" borderId="13" xfId="0" applyFont="1" applyFill="1" applyBorder="1" applyAlignment="1">
      <alignment horizontal="center" vertical="center"/>
    </xf>
    <xf numFmtId="14" fontId="5" fillId="5" borderId="1" xfId="0" applyNumberFormat="1" applyFont="1" applyFill="1" applyBorder="1"/>
    <xf numFmtId="0" fontId="11" fillId="12" borderId="19" xfId="0" applyFont="1" applyFill="1" applyBorder="1" applyAlignment="1">
      <alignment horizontal="center"/>
    </xf>
    <xf numFmtId="0" fontId="11" fillId="12" borderId="20" xfId="0" applyFont="1" applyFill="1" applyBorder="1" applyAlignment="1">
      <alignment horizontal="center"/>
    </xf>
    <xf numFmtId="0" fontId="13" fillId="8" borderId="19" xfId="0" applyFont="1" applyFill="1" applyBorder="1" applyAlignment="1">
      <alignment horizontal="center" vertical="center"/>
    </xf>
    <xf numFmtId="0" fontId="5" fillId="7" borderId="15" xfId="0" applyFont="1" applyFill="1" applyBorder="1" applyAlignment="1">
      <alignment horizontal="center" vertical="center"/>
    </xf>
    <xf numFmtId="0" fontId="0" fillId="8" borderId="0" xfId="0" applyFill="1"/>
    <xf numFmtId="14" fontId="0" fillId="0" borderId="1" xfId="0" applyNumberFormat="1" applyBorder="1"/>
    <xf numFmtId="0" fontId="0" fillId="4" borderId="1" xfId="0" applyFill="1" applyBorder="1" applyAlignment="1">
      <alignment wrapText="1"/>
    </xf>
    <xf numFmtId="168" fontId="0" fillId="0" borderId="1" xfId="0" applyNumberFormat="1" applyBorder="1" applyAlignment="1">
      <alignment horizontal="center" vertical="center"/>
    </xf>
    <xf numFmtId="168" fontId="0" fillId="0" borderId="15" xfId="0" applyNumberFormat="1" applyBorder="1" applyAlignment="1">
      <alignment horizontal="center" vertical="center"/>
    </xf>
    <xf numFmtId="168" fontId="0" fillId="3" borderId="1" xfId="0" applyNumberFormat="1" applyFill="1" applyBorder="1" applyAlignment="1">
      <alignment horizontal="center" vertical="center"/>
    </xf>
    <xf numFmtId="0" fontId="13" fillId="5" borderId="19" xfId="0" applyFont="1" applyFill="1" applyBorder="1" applyAlignment="1">
      <alignment horizontal="center" vertical="center"/>
    </xf>
    <xf numFmtId="14" fontId="5" fillId="5" borderId="15" xfId="0" applyNumberFormat="1" applyFont="1" applyFill="1" applyBorder="1"/>
    <xf numFmtId="0" fontId="5" fillId="5" borderId="15" xfId="0" applyFont="1" applyFill="1" applyBorder="1" applyAlignment="1">
      <alignment horizontal="center"/>
    </xf>
    <xf numFmtId="0" fontId="5" fillId="5" borderId="15" xfId="0" applyFont="1" applyFill="1" applyBorder="1"/>
    <xf numFmtId="0" fontId="5" fillId="5" borderId="15" xfId="0" applyFont="1" applyFill="1" applyBorder="1" applyAlignment="1">
      <alignment horizontal="center" vertical="center"/>
    </xf>
    <xf numFmtId="0" fontId="26" fillId="6" borderId="1" xfId="0" applyFont="1" applyFill="1" applyBorder="1" applyAlignment="1">
      <alignment horizontal="center" vertical="center"/>
    </xf>
    <xf numFmtId="0" fontId="14" fillId="5" borderId="19" xfId="0" applyFont="1" applyFill="1" applyBorder="1" applyAlignment="1">
      <alignment horizontal="center" vertical="center"/>
    </xf>
    <xf numFmtId="0" fontId="14" fillId="5" borderId="20" xfId="0" applyFont="1" applyFill="1" applyBorder="1" applyAlignment="1">
      <alignment horizontal="center" vertical="center"/>
    </xf>
    <xf numFmtId="0" fontId="21" fillId="21" borderId="17" xfId="0" applyFont="1" applyFill="1" applyBorder="1" applyAlignment="1" applyProtection="1">
      <alignment horizontal="center" vertical="center"/>
      <protection locked="0"/>
    </xf>
    <xf numFmtId="0" fontId="21" fillId="21" borderId="18" xfId="0" applyFont="1" applyFill="1" applyBorder="1" applyAlignment="1" applyProtection="1">
      <alignment horizontal="center" vertical="center"/>
      <protection locked="0"/>
    </xf>
    <xf numFmtId="0" fontId="18" fillId="20" borderId="0" xfId="0" applyFont="1" applyFill="1" applyAlignment="1">
      <alignment horizontal="center" vertical="center" wrapText="1"/>
    </xf>
    <xf numFmtId="0" fontId="16" fillId="19" borderId="16" xfId="0" applyFont="1" applyFill="1" applyBorder="1" applyAlignment="1">
      <alignment horizontal="center" vertical="center"/>
    </xf>
    <xf numFmtId="0" fontId="16" fillId="19" borderId="17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166">
    <dxf>
      <font>
        <color theme="0"/>
      </font>
    </dxf>
    <dxf>
      <font>
        <b/>
        <i val="0"/>
        <color theme="0"/>
      </font>
      <fill>
        <patternFill>
          <bgColor theme="9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</border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rgb="FFFF0000"/>
      </font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theme="9" tint="0.39994506668294322"/>
        </patternFill>
      </fill>
    </dxf>
    <dxf>
      <font>
        <color rgb="FFFF0000"/>
      </font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theme="9" tint="0.39994506668294322"/>
        </patternFill>
      </fill>
    </dxf>
    <dxf>
      <fill>
        <patternFill>
          <bgColor theme="1"/>
        </patternFill>
      </fill>
    </dxf>
    <dxf>
      <font>
        <color rgb="FFFF0000"/>
      </font>
      <fill>
        <patternFill>
          <bgColor rgb="FFFF0000"/>
        </patternFill>
      </fill>
    </dxf>
    <dxf>
      <fill>
        <patternFill>
          <bgColor theme="1" tint="4.9989318521683403E-2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1" tint="4.9989318521683403E-2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1" tint="4.9989318521683403E-2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rgb="FFFF0000"/>
      </font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theme="1" tint="4.9989318521683403E-2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1" tint="4.9989318521683403E-2"/>
        </patternFill>
      </fill>
    </dxf>
    <dxf>
      <font>
        <color rgb="FFFF0000"/>
      </font>
      <fill>
        <patternFill>
          <bgColor rgb="FFFF0000"/>
        </patternFill>
      </fill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fill>
        <patternFill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fill>
        <patternFill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fill>
        <patternFill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24"/>
        <color theme="1" tint="4.9989318521683403E-2"/>
        <name val="Calibri"/>
        <family val="2"/>
        <scheme val="minor"/>
      </font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fill>
        <patternFill patternType="solid">
          <fgColor indexed="64"/>
          <bgColor rgb="FFFF0066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fill>
        <patternFill patternType="solid">
          <fgColor indexed="64"/>
          <bgColor rgb="FFFF0066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fill>
        <patternFill patternType="solid">
          <fgColor indexed="64"/>
          <bgColor rgb="FFFF0066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24"/>
        <color theme="1" tint="4.9989318521683403E-2"/>
        <name val="Calibri"/>
        <family val="2"/>
        <scheme val="minor"/>
      </font>
      <fill>
        <patternFill patternType="solid">
          <fgColor indexed="64"/>
          <bgColor rgb="FFFF0066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24"/>
        <color theme="1" tint="4.9989318521683403E-2"/>
        <name val="Calibri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24"/>
        <color theme="1" tint="4.9989318521683403E-2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24"/>
        <color theme="1" tint="4.9989318521683403E-2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24"/>
        <color theme="1" tint="4.9989318521683403E-2"/>
        <name val="Calibri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theme="4" tint="-0.499984740745262"/>
        </left>
        <right/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numFmt numFmtId="13" formatCode="0%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/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theme="4" tint="-0.499984740745262"/>
        </left>
        <right style="thin">
          <color indexed="64"/>
        </right>
        <top style="thin">
          <color theme="4" tint="-0.499984740745262"/>
        </top>
        <bottom style="thin">
          <color theme="4" tint="-0.499984740745262"/>
        </bottom>
      </border>
    </dxf>
    <dxf>
      <border outline="0">
        <left style="thin">
          <color theme="4" tint="-0.499984740745262"/>
        </left>
        <right style="thin">
          <color theme="4" tint="-0.499984740745262"/>
        </right>
        <top style="thin">
          <color theme="1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border outline="0">
        <bottom style="thin">
          <color theme="4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mm/dd/yyyy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theme="4" tint="-0.499984740745262"/>
        </top>
      </border>
    </dxf>
    <dxf>
      <border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border outline="0">
        <bottom style="thin">
          <color theme="4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numFmt numFmtId="169" formatCode="mm/dd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theme="4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8" formatCode="\L\o\t\ 00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theme="1"/>
        </top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</dxfs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IN-10\Desktop\&#1582;&#1575;&#1605;%202025.copy%20o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خام 2025 "/>
      <sheetName val="Sheet48"/>
      <sheetName val="Sheet47"/>
      <sheetName val="Sheet46"/>
      <sheetName val="Sheet45"/>
      <sheetName val="Sheet44"/>
      <sheetName val="Sheet43"/>
      <sheetName val="Sheet41"/>
      <sheetName val="Sheet39"/>
      <sheetName val="Sheet38"/>
      <sheetName val="Sheet37"/>
      <sheetName val="Sheet36"/>
      <sheetName val="Sheet34"/>
      <sheetName val="Sheet33"/>
      <sheetName val="Sheet31"/>
      <sheetName val="Sheet29"/>
      <sheetName val="Sheet26"/>
      <sheetName val="Sheet25"/>
      <sheetName val="Sheet24"/>
      <sheetName val="raw product 2024"/>
      <sheetName val="Sheet42"/>
      <sheetName val="Sheet40"/>
      <sheetName val="Sheet32"/>
      <sheetName val="Sheet30"/>
      <sheetName val="Sheet28"/>
      <sheetName val="Sheet27"/>
      <sheetName val="متبقى 2023"/>
      <sheetName val="Sheet35"/>
      <sheetName val="Sheet18"/>
      <sheetName val="Sheet17"/>
      <sheetName val="Sheet16"/>
      <sheetName val="Sheet15"/>
      <sheetName val="Sheet23"/>
      <sheetName val="Sheet20"/>
      <sheetName val="Sheet22"/>
      <sheetName val="Sheet21"/>
      <sheetName val="متبقى2022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6"/>
      <sheetName val="Sheet4"/>
      <sheetName val="محتوى الثالث"/>
      <sheetName val="Sheet3"/>
      <sheetName val="Sheet2"/>
      <sheetName val="Sheet1"/>
      <sheetName val="lists"/>
      <sheetName val="متبقى متاثر بالمطر"/>
      <sheetName val="متبقى مرتجع شيح "/>
      <sheetName val="متبقى مرتجع بضايع"/>
      <sheetName val="Sheet19"/>
      <sheetName val="مرتجع انتاج"/>
      <sheetName val="Sheet5"/>
      <sheetName val="خام 2025.copy 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1FF5F87-68B9-43FE-8EB4-EBD37BE1DBCC}" name="Tbl_2026" displayName="Tbl_2026" ref="A1:U362" totalsRowShown="0" headerRowDxfId="165" dataDxfId="164" tableBorderDxfId="163">
  <autoFilter ref="A1:U362" xr:uid="{F1FF5F87-68B9-43FE-8EB4-EBD37BE1DBCC}"/>
  <tableColumns count="21">
    <tableColumn id="1" xr3:uid="{E89AEF52-FC65-43A4-BAF6-227FEC816FFC}" name="NO" dataDxfId="162"/>
    <tableColumn id="2" xr3:uid="{3F0145A3-226D-4E60-A6A0-A06F01F0F59E}" name="Date" dataDxfId="161"/>
    <tableColumn id="3" xr3:uid="{003EA574-0DB2-4A01-9702-81AF64F45E7C}" name=" Lot Num." dataDxfId="160"/>
    <tableColumn id="4" xr3:uid="{CC4C443D-274A-45E7-9F56-86D37D5E7B37}" name="Supplier" dataDxfId="159"/>
    <tableColumn id="5" xr3:uid="{81116793-5E61-48A3-B86E-ABD44991B149}" name="Product" dataDxfId="158"/>
    <tableColumn id="6" xr3:uid="{4988D7F1-3DC0-4C53-9582-B70D20A1C86D}" name="Type" dataDxfId="157"/>
    <tableColumn id="7" xr3:uid="{0E80C67B-0797-477A-8F67-01965B18D8FB}" name="Pesticide" dataDxfId="156"/>
    <tableColumn id="8" xr3:uid="{AB36796B-B81A-4D3D-9668-6B19ECC6413D}" name="Pack Kind" dataDxfId="155"/>
    <tableColumn id="9" xr3:uid="{B96D2C4A-0CD8-44F7-BBA6-805AC6EE6C1C}" name="Pack Num." dataDxfId="154"/>
    <tableColumn id="10" xr3:uid="{4DEB7B65-41CD-4544-B32C-E2D528FE1C99}" name="Gross Wt." dataDxfId="153"/>
    <tableColumn id="11" xr3:uid="{C38701BC-29A3-401F-A6FC-60E855ED08C0}" name="Pskal" dataDxfId="152"/>
    <tableColumn id="12" xr3:uid="{335D8EE9-D4AC-491A-B170-C000D94C72B1}" name="Pack Wt." dataDxfId="151"/>
    <tableColumn id="13" xr3:uid="{0A59AAAF-9BB9-4CB5-8A44-BB6B0811FEEC}" name="Wt. Befor ratio" dataDxfId="150">
      <calculatedColumnFormula>Tbl_2026[[#This Row],[Gross Wt.]]-(Tbl_2026[[#This Row],[Pskal]]+Tbl_2026[[#This Row],[Pack Wt.]])</calculatedColumnFormula>
    </tableColumn>
    <tableColumn id="14" xr3:uid="{64FDE058-B15D-454E-A82A-778E83B57B5F}" name="Ratio" dataDxfId="149" dataCellStyle="Percent"/>
    <tableColumn id="15" xr3:uid="{53FCB485-4269-4375-BCEC-0129AE245C57}" name="Wt. After Ratio" dataDxfId="148">
      <calculatedColumnFormula>Tbl_2026[[#This Row],[Wt. Befor ratio]]*Tbl_2026[[#This Row],[Ratio]]</calculatedColumnFormula>
    </tableColumn>
    <tableColumn id="16" xr3:uid="{DECE4302-E995-4933-879C-9223245703E2}" name="Release Status" dataDxfId="147"/>
    <tableColumn id="17" xr3:uid="{526238C2-9EEE-4189-BB07-1DA0969A5A14}" name="Release Num." dataDxfId="146"/>
    <tableColumn id="18" xr3:uid="{745913DF-FC72-4762-843C-9C9C1D99B627}" name="Release Date" dataDxfId="145"/>
    <tableColumn id="19" xr3:uid="{7330BDB3-F0EA-4DB4-B903-4621AD604A75}" name="Work order Num." dataDxfId="144"/>
    <tableColumn id="20" xr3:uid="{C1827472-ADE8-4012-AF94-4247598714C8}" name="Store" dataDxfId="143"/>
    <tableColumn id="21" xr3:uid="{83E9E07B-D9F3-416F-B9A3-0540E19BED8D}" name="Notes" dataDxfId="14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6900AF1-AEDF-44B1-929B-80C458C06660}" name="Tbl_2025" displayName="Tbl_2025" ref="A1:U112" totalsRowShown="0" headerRowDxfId="141" dataDxfId="139" headerRowBorderDxfId="140">
  <autoFilter ref="A1:U112" xr:uid="{96900AF1-AEDF-44B1-929B-80C458C06660}"/>
  <tableColumns count="21">
    <tableColumn id="1" xr3:uid="{1A0B48EC-8C91-4C49-A0A3-89C1A630EB4A}" name="NO" dataDxfId="138"/>
    <tableColumn id="2" xr3:uid="{068EC7CD-52F1-4F8F-B2A1-8B810705667E}" name="Date" dataDxfId="137"/>
    <tableColumn id="3" xr3:uid="{C17A8015-1BE3-41C4-95E7-91EFDBAF194F}" name="Lot Num." dataDxfId="136"/>
    <tableColumn id="4" xr3:uid="{1F701B37-82E9-4C7D-86B4-110C1C9D4D53}" name="Supplier" dataDxfId="135"/>
    <tableColumn id="5" xr3:uid="{6EC017E1-6923-41BB-BEA3-E7497D7A020E}" name="Product" dataDxfId="134"/>
    <tableColumn id="6" xr3:uid="{2F2425AA-C71A-4CA5-BCB5-220FC21FF33A}" name="Type" dataDxfId="133"/>
    <tableColumn id="7" xr3:uid="{47004056-5546-4CCF-8B3B-0614C05E2531}" name="Pesticide" dataDxfId="132"/>
    <tableColumn id="8" xr3:uid="{F7253F18-7660-415A-A81C-22F10371256C}" name="Pack Kind" dataDxfId="131"/>
    <tableColumn id="9" xr3:uid="{55582A83-58C6-4DAD-AA6B-A7762CF46767}" name="Pack Num." dataDxfId="130"/>
    <tableColumn id="10" xr3:uid="{432D616E-8AD8-4965-AD1F-DF96521E0730}" name="Gross Wt." dataDxfId="129"/>
    <tableColumn id="11" xr3:uid="{71CDBFE5-FBD4-4D50-8DA9-2C5B508C60F7}" name="Pskal" dataDxfId="128"/>
    <tableColumn id="12" xr3:uid="{D4D42D46-21BB-460C-B34A-52183D7128BE}" name="Pack Wt." dataDxfId="127"/>
    <tableColumn id="13" xr3:uid="{A68D9DB5-8115-4FD9-95C5-11EA9BE1675C}" name="Wt. Befor ratio" dataDxfId="126"/>
    <tableColumn id="14" xr3:uid="{A7AFA752-C6FC-4C24-A0CB-9192FC717EE5}" name="Ratio" dataDxfId="125" dataCellStyle="Percent"/>
    <tableColumn id="15" xr3:uid="{46FC20A6-DB8C-494A-AF9E-1DA801C51516}" name="Wt. After Ratio" dataDxfId="124">
      <calculatedColumnFormula>Tbl_2025[[#This Row],[Ratio]]*Tbl_2025[[#This Row],[Wt. Befor ratio]]</calculatedColumnFormula>
    </tableColumn>
    <tableColumn id="16" xr3:uid="{2868C6CD-9A93-49F7-9327-6EFC16D61772}" name="Release Status" dataDxfId="123"/>
    <tableColumn id="17" xr3:uid="{FE358F4E-5EC2-4CDD-9D39-41E13F2B8253}" name="Release Num." dataDxfId="122"/>
    <tableColumn id="18" xr3:uid="{DEDD480C-84F8-4D60-8BA6-19E9B2885EF4}" name="Release Date" dataDxfId="121"/>
    <tableColumn id="19" xr3:uid="{DE3D6FE9-7256-47D0-98A1-A2AEA6328B92}" name="Work order Num." dataDxfId="120"/>
    <tableColumn id="20" xr3:uid="{81A200D1-434F-40E0-ABA1-851E4E3537D6}" name="Store" dataDxfId="119"/>
    <tableColumn id="21" xr3:uid="{77FEAD82-73AF-45B4-AC6A-F5D80A30CF67}" name="Notes" dataDxfId="11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F052F8-37D9-45C9-BBAB-C7E1912B97F6}" name="Tbl_2024" displayName="Tbl_2024" ref="A1:U16" totalsRowShown="0" headerRowDxfId="117" dataDxfId="115" headerRowBorderDxfId="116" tableBorderDxfId="114" totalsRowBorderDxfId="113">
  <autoFilter ref="A1:U16" xr:uid="{73F052F8-37D9-45C9-BBAB-C7E1912B97F6}"/>
  <tableColumns count="21">
    <tableColumn id="21" xr3:uid="{EBCFF662-229E-456A-83C1-6F20FF029D08}" name="NO" dataDxfId="112"/>
    <tableColumn id="1" xr3:uid="{4D974D8C-3C0F-461F-AD58-3B29D3520193}" name="Date" dataDxfId="111"/>
    <tableColumn id="2" xr3:uid="{EC4B1B26-3EF3-4B3B-A836-A3B9189A606E}" name="Lot Num." dataDxfId="110"/>
    <tableColumn id="3" xr3:uid="{3F9F38F6-88D7-41AA-BC4B-DCDEE727CC45}" name="Supplier" dataDxfId="109"/>
    <tableColumn id="4" xr3:uid="{66DAB4B3-4658-4B7F-A513-AEAD1EFACE37}" name="Product" dataDxfId="108"/>
    <tableColumn id="5" xr3:uid="{C601F83B-94A0-40E4-9619-5A3E03EE8BA7}" name="Type" dataDxfId="107"/>
    <tableColumn id="6" xr3:uid="{248CCB04-E41F-43BD-A8E1-5F1E35B4AD87}" name="Pesticide" dataDxfId="106"/>
    <tableColumn id="7" xr3:uid="{86F386B7-E837-4E7E-9A6D-4D737A2D4807}" name="Pack Kind" dataDxfId="105"/>
    <tableColumn id="8" xr3:uid="{C6EBB9E4-ACDB-4DD7-BD56-566A90F6175D}" name="Pack Num." dataDxfId="104"/>
    <tableColumn id="9" xr3:uid="{86190DC4-DD98-4512-8E07-1E6D019F352F}" name="Gross Wt." dataDxfId="103"/>
    <tableColumn id="10" xr3:uid="{12155990-48D0-4E5E-A8A4-0EE2BE28EF23}" name="Pskal" dataDxfId="102"/>
    <tableColumn id="11" xr3:uid="{631B8F58-CA13-44E4-9D5C-5FA041488236}" name="Pack Wt." dataDxfId="101"/>
    <tableColumn id="12" xr3:uid="{9818FC8F-452C-4332-B4F9-0993C159C9FF}" name="Wt. Befor ratio" dataDxfId="100"/>
    <tableColumn id="13" xr3:uid="{12A19444-D71A-4230-8005-1BBDAC7ED035}" name="Ratio" dataDxfId="99" dataCellStyle="Percent"/>
    <tableColumn id="14" xr3:uid="{B78F674E-20D5-499B-9162-412E47D14EF6}" name="Wt. After Ratio" dataDxfId="98">
      <calculatedColumnFormula>Tbl_2024[[#This Row],[Wt. Befor ratio]]*N2</calculatedColumnFormula>
    </tableColumn>
    <tableColumn id="15" xr3:uid="{4C45ED83-722A-40AD-9025-8C84C0C89716}" name="Release Status" dataDxfId="97"/>
    <tableColumn id="16" xr3:uid="{4C515E84-D102-4B94-A66D-C5F0D28A8D37}" name="Release Num." dataDxfId="96"/>
    <tableColumn id="17" xr3:uid="{19AB74FA-E600-4E36-AEA9-07739365A495}" name="Release Date" dataDxfId="95"/>
    <tableColumn id="18" xr3:uid="{CB7741F4-9CB4-45F5-9E09-7C47B0A5FBF4}" name="Work order Num." dataDxfId="94"/>
    <tableColumn id="19" xr3:uid="{810F9ADB-3552-4FA8-B6DA-B48E07DF1818}" name="Store" dataDxfId="93"/>
    <tableColumn id="20" xr3:uid="{60E09265-1C70-40D1-B43B-0FAD1D8A1810}" name="Notes" dataDxfId="9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EC2271-14EE-4936-9268-064348E1883E}" name="Tbl_2023" displayName="Tbl_2023" ref="A1:U8" totalsRowShown="0" headerRowDxfId="91" dataDxfId="89" headerRowBorderDxfId="90" tableBorderDxfId="88">
  <autoFilter ref="A1:U8" xr:uid="{00EC2271-14EE-4936-9268-064348E1883E}"/>
  <tableColumns count="21">
    <tableColumn id="21" xr3:uid="{5D9D58A6-447D-4D07-9FC3-6A29474F5D35}" name="NO" dataDxfId="87"/>
    <tableColumn id="1" xr3:uid="{9BF13E59-7D53-47E6-B3B0-E137C12A0360}" name="Date" dataDxfId="86"/>
    <tableColumn id="2" xr3:uid="{DA89B85A-E20C-4883-AA6C-77DFD1D6D391}" name="Lot Num." dataDxfId="85"/>
    <tableColumn id="3" xr3:uid="{EA229CDE-63F4-4DD0-AB94-8C72D5D9FC44}" name="Supplier" dataDxfId="84"/>
    <tableColumn id="4" xr3:uid="{2DE6905B-5D0C-4E40-A9DE-5FD075C4A98E}" name="Product" dataDxfId="83"/>
    <tableColumn id="5" xr3:uid="{96FA01E4-E7CC-4F7C-AD78-30FE5E8E4CD0}" name="Type" dataDxfId="82"/>
    <tableColumn id="6" xr3:uid="{5124DE5A-1BC6-4CD0-9525-C0845CF07088}" name="Pesticide" dataDxfId="81"/>
    <tableColumn id="7" xr3:uid="{0406A881-C10B-4622-9FB2-D1F44CD5080B}" name="Pack Kind" dataDxfId="80"/>
    <tableColumn id="8" xr3:uid="{EE593108-DAE6-4093-9BFC-3DE9E89B52A2}" name="Pack Num." dataDxfId="79"/>
    <tableColumn id="9" xr3:uid="{95F61038-D315-4D6A-9FAF-B4E9FD651ADE}" name="Gross Wt." dataDxfId="78"/>
    <tableColumn id="10" xr3:uid="{DEEB342E-FABE-425B-B02D-C9C9A1D3CB77}" name="Pskal" dataDxfId="77"/>
    <tableColumn id="11" xr3:uid="{60C3BC7F-EDC5-4DBA-9D4A-7C3E30865B3B}" name="Pack Wt." dataDxfId="76"/>
    <tableColumn id="12" xr3:uid="{CA73C5D3-21C0-40C8-AC94-9B40C8AC8EDB}" name="Wt. Befor ratio" dataDxfId="75"/>
    <tableColumn id="13" xr3:uid="{1D95D611-935B-43D8-B2DE-05C218B24FAA}" name="Ratio" dataDxfId="74"/>
    <tableColumn id="14" xr3:uid="{7E6E0D4A-9DC7-4D0E-842D-7F44205D9C84}" name="Wt. After Ratio" dataDxfId="73"/>
    <tableColumn id="15" xr3:uid="{B0268A0A-48C9-4CB8-9ED7-4DC730456FAA}" name="Release Status" dataDxfId="72"/>
    <tableColumn id="16" xr3:uid="{6A9788EF-8510-4544-8C0F-90FD71C25A0C}" name="Release Num." dataDxfId="71"/>
    <tableColumn id="17" xr3:uid="{2F7E17D5-76F9-4199-821D-7EE0E1D24AEF}" name="Release Date" dataDxfId="70"/>
    <tableColumn id="18" xr3:uid="{6F75E9DE-DB2C-423C-AB1D-2ADDE4918B5B}" name="Work order Num." dataDxfId="69"/>
    <tableColumn id="19" xr3:uid="{C4643A3C-B9F0-4112-A7FD-536DCF0112F3}" name="Store" dataDxfId="68"/>
    <tableColumn id="20" xr3:uid="{7DDB78D4-895B-45A7-B87D-B579F969A06D}" name="Notes" dataDxfId="6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72A6DFE-26B3-4E45-AAD3-B1BEEC5EE027}" name="Table3" displayName="Table3" ref="A1:B48" totalsRowShown="0" headerRowDxfId="66" dataDxfId="64" headerRowBorderDxfId="65" tableBorderDxfId="63">
  <autoFilter ref="A1:B48" xr:uid="{F72A6DFE-26B3-4E45-AAD3-B1BEEC5EE027}"/>
  <sortState xmlns:xlrd2="http://schemas.microsoft.com/office/spreadsheetml/2017/richdata2" ref="A2:B45">
    <sortCondition ref="A2:A45"/>
  </sortState>
  <tableColumns count="2">
    <tableColumn id="1" xr3:uid="{FEE72A73-1AA6-49D9-8BD2-E0A0E3B98C28}" name="Products" dataDxfId="62"/>
    <tableColumn id="2" xr3:uid="{D40D1A18-C914-4E3A-8F55-498C48680F4A}" name="المنتج" dataDxfId="6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B971072-3445-445B-B95D-93FD26BAADE3}" name="Table4" displayName="Table4" ref="C1:C42" totalsRowShown="0" headerRowDxfId="60" dataDxfId="58" headerRowBorderDxfId="59" tableBorderDxfId="57">
  <autoFilter ref="C1:C42" xr:uid="{FB971072-3445-445B-B95D-93FD26BAADE3}"/>
  <sortState xmlns:xlrd2="http://schemas.microsoft.com/office/spreadsheetml/2017/richdata2" ref="C2:C42">
    <sortCondition ref="C2:C42"/>
  </sortState>
  <tableColumns count="1">
    <tableColumn id="1" xr3:uid="{ABDBC925-FB1E-43D7-B7DB-BCECBE9E0216}" name="SupplierName" dataDxfId="5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332B7FB-F6B0-41F6-949B-D4DA49DCE999}" name="Table7" displayName="Table7" ref="G1:H6" totalsRowShown="0" headerRowDxfId="55" dataDxfId="53" headerRowBorderDxfId="54" tableBorderDxfId="52" totalsRowBorderDxfId="51">
  <autoFilter ref="G1:H6" xr:uid="{4332B7FB-F6B0-41F6-949B-D4DA49DCE999}"/>
  <tableColumns count="2">
    <tableColumn id="1" xr3:uid="{407516E2-11B6-41E2-B48D-BB035D6D4340}" name="Packaging" dataDxfId="50"/>
    <tableColumn id="2" xr3:uid="{AFE66E8D-F005-4BA5-90C6-7F2CD1B8E4FE}" name="التعبئه" dataDxfId="4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346EB98-D4ED-4895-A338-C53582FF2258}" name="Table14" displayName="Table14" ref="E1:F7" totalsRowShown="0" headerRowDxfId="48" dataDxfId="46" headerRowBorderDxfId="47" tableBorderDxfId="45" totalsRowBorderDxfId="44">
  <autoFilter ref="E1:F7" xr:uid="{6346EB98-D4ED-4895-A338-C53582FF2258}"/>
  <sortState xmlns:xlrd2="http://schemas.microsoft.com/office/spreadsheetml/2017/richdata2" ref="E2:F7">
    <sortCondition ref="E2:E7"/>
  </sortState>
  <tableColumns count="2">
    <tableColumn id="1" xr3:uid="{0D69B14B-98FD-433E-99EC-1C6B6CCD54C8}" name="Analysis" dataDxfId="43"/>
    <tableColumn id="2" xr3:uid="{2C06A9B2-E597-495D-9ABA-DD312FCBEC41}" name="التحاليل" dataDxfId="42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0B4F1BC-C3E6-4384-916B-354466C1AD39}" name="Table15" displayName="Table15" ref="I1:J5" totalsRowShown="0" headerRowDxfId="41" dataDxfId="39" headerRowBorderDxfId="40" tableBorderDxfId="38">
  <autoFilter ref="I1:J5" xr:uid="{20B4F1BC-C3E6-4384-916B-354466C1AD39}"/>
  <tableColumns count="2">
    <tableColumn id="1" xr3:uid="{77D5B948-D3CC-4CF6-AC38-AE7D0FA7A990}" name="Status" dataDxfId="37"/>
    <tableColumn id="2" xr3:uid="{5752E0A5-7843-46F1-A899-F0923C3D0952}" name="الحاله" dataDxfId="36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696743D-864A-4C0F-A4AB-EC7D4779B58C}" name="Table13" displayName="Table13" ref="K1:L26" totalsRowShown="0" headerRowDxfId="35" dataDxfId="34">
  <autoFilter ref="K1:L26" xr:uid="{E696743D-864A-4C0F-A4AB-EC7D4779B58C}"/>
  <tableColumns count="2">
    <tableColumn id="2" xr3:uid="{7B9C53DF-A9EF-4306-920D-11F701AFFF71}" name="Spec" dataDxfId="33"/>
    <tableColumn id="1" xr3:uid="{848DA45C-2F7B-45B0-A6E7-6E29CBF95BFF}" name="المواصفات" dataDxfId="3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6" Type="http://schemas.openxmlformats.org/officeDocument/2006/relationships/table" Target="../tables/table10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600E6-79E7-461D-872B-0776ADE76BC1}">
  <sheetPr codeName="Sheet2"/>
  <dimension ref="A1:U362"/>
  <sheetViews>
    <sheetView tabSelected="1" topLeftCell="A43" zoomScale="90" zoomScaleNormal="90" workbookViewId="0">
      <selection activeCell="M47" sqref="M47"/>
    </sheetView>
  </sheetViews>
  <sheetFormatPr defaultRowHeight="15" x14ac:dyDescent="0.25"/>
  <cols>
    <col min="1" max="1" width="11" customWidth="1"/>
    <col min="2" max="2" width="11" style="109" customWidth="1"/>
    <col min="3" max="4" width="11" customWidth="1"/>
    <col min="5" max="5" width="16.42578125" bestFit="1" customWidth="1"/>
    <col min="6" max="6" width="11" customWidth="1"/>
    <col min="7" max="7" width="13.28515625" customWidth="1"/>
    <col min="8" max="9" width="11" customWidth="1"/>
    <col min="10" max="20" width="12" customWidth="1"/>
    <col min="21" max="21" width="22.28515625" customWidth="1"/>
  </cols>
  <sheetData>
    <row r="1" spans="1:21" ht="30" x14ac:dyDescent="0.25">
      <c r="A1" s="12" t="s">
        <v>194</v>
      </c>
      <c r="B1" s="68" t="s">
        <v>9</v>
      </c>
      <c r="C1" s="12" t="s">
        <v>562</v>
      </c>
      <c r="D1" s="13" t="s">
        <v>11</v>
      </c>
      <c r="E1" s="12" t="s">
        <v>12</v>
      </c>
      <c r="F1" s="12" t="s">
        <v>63</v>
      </c>
      <c r="G1" s="12" t="s">
        <v>13</v>
      </c>
      <c r="H1" s="12" t="s">
        <v>14</v>
      </c>
      <c r="I1" s="12" t="s">
        <v>15</v>
      </c>
      <c r="J1" s="12" t="s">
        <v>16</v>
      </c>
      <c r="K1" s="12" t="s">
        <v>17</v>
      </c>
      <c r="L1" s="12" t="s">
        <v>18</v>
      </c>
      <c r="M1" s="12" t="s">
        <v>19</v>
      </c>
      <c r="N1" s="14" t="s">
        <v>20</v>
      </c>
      <c r="O1" s="12" t="s">
        <v>21</v>
      </c>
      <c r="P1" s="12" t="s">
        <v>530</v>
      </c>
      <c r="Q1" s="12" t="s">
        <v>531</v>
      </c>
      <c r="R1" s="12" t="s">
        <v>529</v>
      </c>
      <c r="S1" s="12" t="s">
        <v>22</v>
      </c>
      <c r="T1" s="12" t="s">
        <v>23</v>
      </c>
      <c r="U1" s="12" t="s">
        <v>24</v>
      </c>
    </row>
    <row r="2" spans="1:21" s="99" customFormat="1" x14ac:dyDescent="0.25">
      <c r="A2" s="25">
        <v>139900</v>
      </c>
      <c r="B2" s="192">
        <v>46023</v>
      </c>
      <c r="C2" s="203">
        <v>2601</v>
      </c>
      <c r="D2" s="25" t="s">
        <v>60</v>
      </c>
      <c r="E2" s="25" t="s">
        <v>204</v>
      </c>
      <c r="F2" s="25" t="s">
        <v>228</v>
      </c>
      <c r="G2" s="25" t="s">
        <v>252</v>
      </c>
      <c r="H2" s="25" t="s">
        <v>260</v>
      </c>
      <c r="I2" s="25">
        <v>115</v>
      </c>
      <c r="J2" s="25">
        <v>8024</v>
      </c>
      <c r="K2" s="25">
        <v>50</v>
      </c>
      <c r="L2" s="25">
        <v>29</v>
      </c>
      <c r="M2" s="25">
        <f>Tbl_2026[[#This Row],[Gross Wt.]]-(Tbl_2026[[#This Row],[Pskal]]+Tbl_2026[[#This Row],[Pack Wt.]])</f>
        <v>7945</v>
      </c>
      <c r="N2" s="98">
        <v>0.85</v>
      </c>
      <c r="O2" s="25">
        <f>Tbl_2026[[#This Row],[Wt. Befor ratio]]*Tbl_2026[[#This Row],[Ratio]]</f>
        <v>6753.25</v>
      </c>
      <c r="P2" s="25" t="s">
        <v>84</v>
      </c>
      <c r="Q2" s="25">
        <v>2905</v>
      </c>
      <c r="R2" s="97">
        <v>46023</v>
      </c>
      <c r="S2" s="25">
        <v>12</v>
      </c>
      <c r="T2" s="25" t="s">
        <v>152</v>
      </c>
      <c r="U2" s="25" t="s">
        <v>498</v>
      </c>
    </row>
    <row r="3" spans="1:21" s="99" customFormat="1" x14ac:dyDescent="0.25">
      <c r="A3" s="25">
        <f>IF(B3&gt;0,A2+1,"")</f>
        <v>139901</v>
      </c>
      <c r="B3" s="192">
        <v>46023</v>
      </c>
      <c r="C3" s="203">
        <v>2602</v>
      </c>
      <c r="D3" s="25" t="s">
        <v>60</v>
      </c>
      <c r="E3" s="25" t="s">
        <v>204</v>
      </c>
      <c r="F3" s="25" t="s">
        <v>228</v>
      </c>
      <c r="G3" s="25" t="s">
        <v>252</v>
      </c>
      <c r="H3" s="25" t="s">
        <v>260</v>
      </c>
      <c r="I3" s="25">
        <v>125</v>
      </c>
      <c r="J3" s="25">
        <v>8088</v>
      </c>
      <c r="K3" s="25">
        <v>50</v>
      </c>
      <c r="L3" s="25">
        <v>31</v>
      </c>
      <c r="M3" s="25">
        <f>Tbl_2026[[#This Row],[Gross Wt.]]-(Tbl_2026[[#This Row],[Pskal]]+Tbl_2026[[#This Row],[Pack Wt.]])</f>
        <v>8007</v>
      </c>
      <c r="N3" s="100">
        <v>0.83199999999999996</v>
      </c>
      <c r="O3" s="25">
        <f>Tbl_2026[[#This Row],[Wt. Befor ratio]]*Tbl_2026[[#This Row],[Ratio]]</f>
        <v>6661.8239999999996</v>
      </c>
      <c r="P3" s="25" t="s">
        <v>84</v>
      </c>
      <c r="Q3" s="25">
        <v>2905</v>
      </c>
      <c r="R3" s="97">
        <v>46023</v>
      </c>
      <c r="S3" s="25">
        <v>12</v>
      </c>
      <c r="T3" s="25" t="s">
        <v>152</v>
      </c>
      <c r="U3" s="25" t="s">
        <v>498</v>
      </c>
    </row>
    <row r="4" spans="1:21" x14ac:dyDescent="0.25">
      <c r="A4" s="25">
        <f t="shared" ref="A4:A67" si="0">IF(B4&gt;0,A3+1,"")</f>
        <v>139902</v>
      </c>
      <c r="B4" s="192">
        <v>46023</v>
      </c>
      <c r="C4" s="203">
        <v>2601</v>
      </c>
      <c r="D4" s="25" t="s">
        <v>58</v>
      </c>
      <c r="E4" s="25" t="s">
        <v>217</v>
      </c>
      <c r="F4" s="25" t="s">
        <v>221</v>
      </c>
      <c r="G4" s="25" t="s">
        <v>253</v>
      </c>
      <c r="H4" s="25" t="s">
        <v>260</v>
      </c>
      <c r="I4" s="25">
        <v>691</v>
      </c>
      <c r="J4" s="25">
        <v>10675</v>
      </c>
      <c r="K4" s="25">
        <v>107</v>
      </c>
      <c r="L4" s="25">
        <v>173</v>
      </c>
      <c r="M4" s="25">
        <f>Tbl_2026[[#This Row],[Gross Wt.]]-(Tbl_2026[[#This Row],[Pskal]]+Tbl_2026[[#This Row],[Pack Wt.]])</f>
        <v>10395</v>
      </c>
      <c r="N4" s="98">
        <v>0.69</v>
      </c>
      <c r="O4" s="25">
        <f>Tbl_2026[[#This Row],[Wt. Befor ratio]]*Tbl_2026[[#This Row],[Ratio]]</f>
        <v>7172.5499999999993</v>
      </c>
      <c r="P4" s="25" t="s">
        <v>84</v>
      </c>
      <c r="Q4" s="25">
        <v>2908</v>
      </c>
      <c r="R4" s="97">
        <v>46023</v>
      </c>
      <c r="S4" s="25">
        <v>2</v>
      </c>
      <c r="T4" s="25" t="s">
        <v>499</v>
      </c>
      <c r="U4" s="25" t="s">
        <v>508</v>
      </c>
    </row>
    <row r="5" spans="1:21" x14ac:dyDescent="0.25">
      <c r="A5" s="25">
        <f t="shared" si="0"/>
        <v>139903</v>
      </c>
      <c r="B5" s="192">
        <v>46023</v>
      </c>
      <c r="C5" s="203">
        <v>2602</v>
      </c>
      <c r="D5" s="25" t="s">
        <v>58</v>
      </c>
      <c r="E5" s="25" t="s">
        <v>217</v>
      </c>
      <c r="F5" s="25" t="s">
        <v>221</v>
      </c>
      <c r="G5" s="25" t="s">
        <v>253</v>
      </c>
      <c r="H5" s="25" t="s">
        <v>260</v>
      </c>
      <c r="I5" s="25">
        <v>424</v>
      </c>
      <c r="J5" s="25">
        <v>7060</v>
      </c>
      <c r="K5" s="25">
        <v>71</v>
      </c>
      <c r="L5" s="25">
        <v>106</v>
      </c>
      <c r="M5" s="25">
        <f>Tbl_2026[[#This Row],[Gross Wt.]]-(Tbl_2026[[#This Row],[Pskal]]+Tbl_2026[[#This Row],[Pack Wt.]])</f>
        <v>6883</v>
      </c>
      <c r="N5" s="98">
        <v>0.77</v>
      </c>
      <c r="O5" s="25">
        <f>Tbl_2026[[#This Row],[Wt. Befor ratio]]*Tbl_2026[[#This Row],[Ratio]]</f>
        <v>5299.91</v>
      </c>
      <c r="P5" s="25" t="s">
        <v>84</v>
      </c>
      <c r="Q5" s="25">
        <v>2908</v>
      </c>
      <c r="R5" s="97">
        <v>46023</v>
      </c>
      <c r="S5" s="25">
        <v>2</v>
      </c>
      <c r="T5" s="25" t="s">
        <v>499</v>
      </c>
      <c r="U5" s="25" t="s">
        <v>509</v>
      </c>
    </row>
    <row r="6" spans="1:21" x14ac:dyDescent="0.25">
      <c r="A6" s="25">
        <f t="shared" si="0"/>
        <v>139904</v>
      </c>
      <c r="B6" s="192">
        <v>46023</v>
      </c>
      <c r="C6" s="203">
        <v>2603</v>
      </c>
      <c r="D6" s="25" t="s">
        <v>58</v>
      </c>
      <c r="E6" s="25" t="s">
        <v>217</v>
      </c>
      <c r="F6" s="25" t="s">
        <v>221</v>
      </c>
      <c r="G6" s="25" t="s">
        <v>253</v>
      </c>
      <c r="H6" s="25" t="s">
        <v>260</v>
      </c>
      <c r="I6" s="25">
        <v>127</v>
      </c>
      <c r="J6" s="25">
        <v>1395</v>
      </c>
      <c r="K6" s="25">
        <v>14</v>
      </c>
      <c r="L6" s="25">
        <v>32</v>
      </c>
      <c r="M6" s="25">
        <f>Tbl_2026[[#This Row],[Gross Wt.]]-(Tbl_2026[[#This Row],[Pskal]]+Tbl_2026[[#This Row],[Pack Wt.]])</f>
        <v>1349</v>
      </c>
      <c r="N6" s="98">
        <v>0.21</v>
      </c>
      <c r="O6" s="25">
        <f>Tbl_2026[[#This Row],[Wt. Befor ratio]]*Tbl_2026[[#This Row],[Ratio]]</f>
        <v>283.28999999999996</v>
      </c>
      <c r="P6" s="25" t="s">
        <v>84</v>
      </c>
      <c r="Q6" s="25">
        <v>2908</v>
      </c>
      <c r="R6" s="97">
        <v>46023</v>
      </c>
      <c r="S6" s="25">
        <v>2</v>
      </c>
      <c r="T6" s="25" t="s">
        <v>77</v>
      </c>
      <c r="U6" s="25" t="s">
        <v>510</v>
      </c>
    </row>
    <row r="7" spans="1:21" x14ac:dyDescent="0.25">
      <c r="A7" s="25">
        <f t="shared" si="0"/>
        <v>139905</v>
      </c>
      <c r="B7" s="192">
        <v>46023</v>
      </c>
      <c r="C7" s="203">
        <v>2601</v>
      </c>
      <c r="D7" s="25" t="s">
        <v>58</v>
      </c>
      <c r="E7" s="25" t="s">
        <v>219</v>
      </c>
      <c r="F7" s="25" t="s">
        <v>226</v>
      </c>
      <c r="G7" s="25" t="s">
        <v>253</v>
      </c>
      <c r="H7" s="25" t="s">
        <v>260</v>
      </c>
      <c r="I7" s="25">
        <v>170</v>
      </c>
      <c r="J7" s="25">
        <v>770</v>
      </c>
      <c r="K7" s="25">
        <v>8</v>
      </c>
      <c r="L7" s="25">
        <v>43</v>
      </c>
      <c r="M7" s="25">
        <f>Tbl_2026[[#This Row],[Gross Wt.]]-(Tbl_2026[[#This Row],[Pskal]]+Tbl_2026[[#This Row],[Pack Wt.]])</f>
        <v>719</v>
      </c>
      <c r="N7" s="98">
        <v>0.71</v>
      </c>
      <c r="O7" s="25">
        <f>Tbl_2026[[#This Row],[Wt. Befor ratio]]*Tbl_2026[[#This Row],[Ratio]]</f>
        <v>510.48999999999995</v>
      </c>
      <c r="P7" s="25" t="s">
        <v>84</v>
      </c>
      <c r="Q7" s="25">
        <v>2924</v>
      </c>
      <c r="R7" s="97">
        <v>46042</v>
      </c>
      <c r="S7" s="25">
        <v>15</v>
      </c>
      <c r="T7" s="25" t="s">
        <v>105</v>
      </c>
      <c r="U7" s="25" t="s">
        <v>510</v>
      </c>
    </row>
    <row r="8" spans="1:21" x14ac:dyDescent="0.25">
      <c r="A8" s="25">
        <f t="shared" si="0"/>
        <v>139906</v>
      </c>
      <c r="B8" s="192">
        <v>46023</v>
      </c>
      <c r="C8" s="203">
        <v>2601</v>
      </c>
      <c r="D8" s="25" t="s">
        <v>45</v>
      </c>
      <c r="E8" s="25" t="s">
        <v>202</v>
      </c>
      <c r="F8" s="25" t="s">
        <v>221</v>
      </c>
      <c r="G8" s="25" t="s">
        <v>253</v>
      </c>
      <c r="H8" s="25" t="s">
        <v>260</v>
      </c>
      <c r="I8" s="25">
        <v>25</v>
      </c>
      <c r="J8" s="25">
        <v>1140</v>
      </c>
      <c r="K8" s="25"/>
      <c r="L8" s="25"/>
      <c r="M8" s="25">
        <f>Tbl_2026[[#This Row],[Gross Wt.]]-(Tbl_2026[[#This Row],[Pskal]]+Tbl_2026[[#This Row],[Pack Wt.]])</f>
        <v>1140</v>
      </c>
      <c r="N8" s="98">
        <v>0.92</v>
      </c>
      <c r="O8" s="25">
        <f>Tbl_2026[[#This Row],[Wt. Befor ratio]]*Tbl_2026[[#This Row],[Ratio]]</f>
        <v>1048.8</v>
      </c>
      <c r="P8" s="25" t="s">
        <v>84</v>
      </c>
      <c r="Q8" s="25">
        <v>2920</v>
      </c>
      <c r="R8" s="97">
        <v>46041</v>
      </c>
      <c r="S8" s="25">
        <v>13</v>
      </c>
      <c r="T8" s="25" t="s">
        <v>77</v>
      </c>
      <c r="U8" s="25"/>
    </row>
    <row r="9" spans="1:21" x14ac:dyDescent="0.25">
      <c r="A9" s="25">
        <f t="shared" si="0"/>
        <v>139907</v>
      </c>
      <c r="B9" s="192">
        <v>46023</v>
      </c>
      <c r="C9" s="203">
        <v>2603</v>
      </c>
      <c r="D9" s="25" t="s">
        <v>60</v>
      </c>
      <c r="E9" s="25" t="s">
        <v>204</v>
      </c>
      <c r="F9" s="25" t="s">
        <v>228</v>
      </c>
      <c r="G9" s="25" t="s">
        <v>252</v>
      </c>
      <c r="H9" s="25" t="s">
        <v>260</v>
      </c>
      <c r="I9" s="25">
        <v>100</v>
      </c>
      <c r="J9" s="25">
        <v>8114</v>
      </c>
      <c r="K9" s="25">
        <v>50</v>
      </c>
      <c r="L9" s="25">
        <v>25</v>
      </c>
      <c r="M9" s="25">
        <f>Tbl_2026[[#This Row],[Gross Wt.]]-(Tbl_2026[[#This Row],[Pskal]]+Tbl_2026[[#This Row],[Pack Wt.]])</f>
        <v>8039</v>
      </c>
      <c r="N9" s="100">
        <v>0.86399999999999999</v>
      </c>
      <c r="O9" s="25">
        <f>Tbl_2026[[#This Row],[Wt. Befor ratio]]*Tbl_2026[[#This Row],[Ratio]]</f>
        <v>6945.6959999999999</v>
      </c>
      <c r="P9" s="25" t="s">
        <v>84</v>
      </c>
      <c r="Q9" s="25">
        <v>2905</v>
      </c>
      <c r="R9" s="97">
        <v>46023</v>
      </c>
      <c r="S9" s="25">
        <v>12</v>
      </c>
      <c r="T9" s="25" t="s">
        <v>152</v>
      </c>
      <c r="U9" s="25" t="s">
        <v>498</v>
      </c>
    </row>
    <row r="10" spans="1:21" x14ac:dyDescent="0.25">
      <c r="A10" s="25">
        <f t="shared" si="0"/>
        <v>139908</v>
      </c>
      <c r="B10" s="192">
        <v>46026</v>
      </c>
      <c r="C10" s="203">
        <v>2601</v>
      </c>
      <c r="D10" s="25" t="s">
        <v>27</v>
      </c>
      <c r="E10" s="25" t="s">
        <v>0</v>
      </c>
      <c r="F10" s="25" t="s">
        <v>221</v>
      </c>
      <c r="G10" s="25" t="s">
        <v>255</v>
      </c>
      <c r="H10" s="25" t="s">
        <v>260</v>
      </c>
      <c r="I10" s="25">
        <v>227</v>
      </c>
      <c r="J10" s="25">
        <v>5170</v>
      </c>
      <c r="K10" s="25">
        <v>50</v>
      </c>
      <c r="L10" s="25"/>
      <c r="M10" s="25">
        <f>Tbl_2026[[#This Row],[Gross Wt.]]-(Tbl_2026[[#This Row],[Pskal]]+Tbl_2026[[#This Row],[Pack Wt.]])</f>
        <v>5120</v>
      </c>
      <c r="N10" s="98">
        <v>0.66</v>
      </c>
      <c r="O10" s="25">
        <f>Tbl_2026[[#This Row],[Wt. Befor ratio]]*Tbl_2026[[#This Row],[Ratio]]</f>
        <v>3379.2000000000003</v>
      </c>
      <c r="P10" s="25"/>
      <c r="Q10" s="25"/>
      <c r="R10" s="25"/>
      <c r="S10" s="25"/>
      <c r="T10" s="25" t="s">
        <v>124</v>
      </c>
      <c r="U10" s="25"/>
    </row>
    <row r="11" spans="1:21" x14ac:dyDescent="0.25">
      <c r="A11" s="25">
        <f t="shared" si="0"/>
        <v>139909</v>
      </c>
      <c r="B11" s="192">
        <v>46027</v>
      </c>
      <c r="C11" s="203">
        <v>2601</v>
      </c>
      <c r="D11" s="25" t="s">
        <v>95</v>
      </c>
      <c r="E11" s="25" t="s">
        <v>0</v>
      </c>
      <c r="F11" s="25" t="s">
        <v>221</v>
      </c>
      <c r="G11" s="25" t="s">
        <v>253</v>
      </c>
      <c r="H11" s="25" t="s">
        <v>260</v>
      </c>
      <c r="I11" s="25">
        <v>314</v>
      </c>
      <c r="J11" s="25">
        <v>7020</v>
      </c>
      <c r="K11" s="25">
        <v>75</v>
      </c>
      <c r="L11" s="25"/>
      <c r="M11" s="25">
        <f>Tbl_2026[[#This Row],[Gross Wt.]]-(Tbl_2026[[#This Row],[Pskal]]+Tbl_2026[[#This Row],[Pack Wt.]])</f>
        <v>6945</v>
      </c>
      <c r="N11" s="98">
        <v>0.67</v>
      </c>
      <c r="O11" s="25">
        <f>Tbl_2026[[#This Row],[Wt. Befor ratio]]*Tbl_2026[[#This Row],[Ratio]]</f>
        <v>4653.1500000000005</v>
      </c>
      <c r="P11" s="25"/>
      <c r="Q11" s="25"/>
      <c r="R11" s="25"/>
      <c r="S11" s="25"/>
      <c r="T11" s="25" t="s">
        <v>499</v>
      </c>
      <c r="U11" s="25"/>
    </row>
    <row r="12" spans="1:21" x14ac:dyDescent="0.25">
      <c r="A12" s="25">
        <f t="shared" si="0"/>
        <v>139910</v>
      </c>
      <c r="B12" s="192">
        <v>46027</v>
      </c>
      <c r="C12" s="203">
        <v>2602</v>
      </c>
      <c r="D12" s="25" t="s">
        <v>95</v>
      </c>
      <c r="E12" s="25" t="s">
        <v>0</v>
      </c>
      <c r="F12" s="25" t="s">
        <v>221</v>
      </c>
      <c r="G12" s="25" t="s">
        <v>253</v>
      </c>
      <c r="H12" s="25" t="s">
        <v>260</v>
      </c>
      <c r="I12" s="25">
        <v>241</v>
      </c>
      <c r="J12" s="25">
        <v>4890</v>
      </c>
      <c r="K12" s="25">
        <v>50</v>
      </c>
      <c r="L12" s="25"/>
      <c r="M12" s="25">
        <f>Tbl_2026[[#This Row],[Gross Wt.]]-(Tbl_2026[[#This Row],[Pskal]]+Tbl_2026[[#This Row],[Pack Wt.]])</f>
        <v>4840</v>
      </c>
      <c r="N12" s="98">
        <v>0.63</v>
      </c>
      <c r="O12" s="25">
        <f>Tbl_2026[[#This Row],[Wt. Befor ratio]]*Tbl_2026[[#This Row],[Ratio]]</f>
        <v>3049.2</v>
      </c>
      <c r="P12" s="25"/>
      <c r="Q12" s="25"/>
      <c r="R12" s="25"/>
      <c r="S12" s="25"/>
      <c r="T12" s="25" t="s">
        <v>499</v>
      </c>
      <c r="U12" s="25"/>
    </row>
    <row r="13" spans="1:21" x14ac:dyDescent="0.25">
      <c r="A13" s="25">
        <f t="shared" si="0"/>
        <v>139911</v>
      </c>
      <c r="B13" s="192">
        <v>46032</v>
      </c>
      <c r="C13" s="203">
        <v>2601</v>
      </c>
      <c r="D13" s="25" t="s">
        <v>511</v>
      </c>
      <c r="E13" s="25" t="s">
        <v>204</v>
      </c>
      <c r="F13" s="25" t="s">
        <v>221</v>
      </c>
      <c r="G13" s="25" t="s">
        <v>257</v>
      </c>
      <c r="H13" s="25" t="s">
        <v>260</v>
      </c>
      <c r="I13" s="25">
        <v>130</v>
      </c>
      <c r="J13" s="25">
        <v>8570</v>
      </c>
      <c r="K13" s="25">
        <v>50</v>
      </c>
      <c r="L13" s="25">
        <v>33</v>
      </c>
      <c r="M13" s="25">
        <f>Tbl_2026[[#This Row],[Gross Wt.]]-(Tbl_2026[[#This Row],[Pskal]]+Tbl_2026[[#This Row],[Pack Wt.]])</f>
        <v>8487</v>
      </c>
      <c r="N13" s="98">
        <v>0.83</v>
      </c>
      <c r="O13" s="25">
        <f>Tbl_2026[[#This Row],[Wt. Befor ratio]]*Tbl_2026[[#This Row],[Ratio]]</f>
        <v>7044.21</v>
      </c>
      <c r="P13" s="25"/>
      <c r="Q13" s="25"/>
      <c r="R13" s="25"/>
      <c r="S13" s="25"/>
      <c r="T13" s="25" t="s">
        <v>176</v>
      </c>
      <c r="U13" s="25"/>
    </row>
    <row r="14" spans="1:21" x14ac:dyDescent="0.25">
      <c r="A14" s="25">
        <f t="shared" si="0"/>
        <v>139912</v>
      </c>
      <c r="B14" s="192">
        <v>46032</v>
      </c>
      <c r="C14" s="203">
        <v>2602</v>
      </c>
      <c r="D14" s="25" t="s">
        <v>511</v>
      </c>
      <c r="E14" s="25" t="s">
        <v>204</v>
      </c>
      <c r="F14" s="25" t="s">
        <v>221</v>
      </c>
      <c r="G14" s="25" t="s">
        <v>253</v>
      </c>
      <c r="H14" s="25" t="s">
        <v>260</v>
      </c>
      <c r="I14" s="25">
        <v>116</v>
      </c>
      <c r="J14" s="25">
        <v>8015</v>
      </c>
      <c r="K14" s="25">
        <v>50</v>
      </c>
      <c r="L14" s="25">
        <v>29</v>
      </c>
      <c r="M14" s="25">
        <f>Tbl_2026[[#This Row],[Gross Wt.]]-(Tbl_2026[[#This Row],[Pskal]]+Tbl_2026[[#This Row],[Pack Wt.]])</f>
        <v>7936</v>
      </c>
      <c r="N14" s="98">
        <v>0.84</v>
      </c>
      <c r="O14" s="25">
        <f>Tbl_2026[[#This Row],[Wt. Befor ratio]]*Tbl_2026[[#This Row],[Ratio]]</f>
        <v>6666.24</v>
      </c>
      <c r="P14" s="25" t="s">
        <v>84</v>
      </c>
      <c r="Q14" s="25">
        <v>2921</v>
      </c>
      <c r="R14" s="97">
        <v>46041</v>
      </c>
      <c r="S14" s="25">
        <v>12</v>
      </c>
      <c r="T14" s="25" t="s">
        <v>176</v>
      </c>
      <c r="U14" s="25" t="s">
        <v>524</v>
      </c>
    </row>
    <row r="15" spans="1:21" x14ac:dyDescent="0.25">
      <c r="A15" s="25">
        <f t="shared" si="0"/>
        <v>139913</v>
      </c>
      <c r="B15" s="192">
        <v>46032</v>
      </c>
      <c r="C15" s="203">
        <v>2603</v>
      </c>
      <c r="D15" s="25" t="s">
        <v>511</v>
      </c>
      <c r="E15" s="25" t="s">
        <v>204</v>
      </c>
      <c r="F15" s="25" t="s">
        <v>221</v>
      </c>
      <c r="G15" s="25" t="s">
        <v>253</v>
      </c>
      <c r="H15" s="25" t="s">
        <v>260</v>
      </c>
      <c r="I15" s="25">
        <v>106</v>
      </c>
      <c r="J15" s="25">
        <v>7015</v>
      </c>
      <c r="K15" s="25">
        <v>50</v>
      </c>
      <c r="L15" s="25">
        <v>27</v>
      </c>
      <c r="M15" s="25">
        <f>Tbl_2026[[#This Row],[Gross Wt.]]-(Tbl_2026[[#This Row],[Pskal]]+Tbl_2026[[#This Row],[Pack Wt.]])</f>
        <v>6938</v>
      </c>
      <c r="N15" s="98">
        <v>0.86</v>
      </c>
      <c r="O15" s="25">
        <f>Tbl_2026[[#This Row],[Wt. Befor ratio]]*Tbl_2026[[#This Row],[Ratio]]</f>
        <v>5966.68</v>
      </c>
      <c r="P15" s="25" t="s">
        <v>84</v>
      </c>
      <c r="Q15" s="25">
        <v>2921</v>
      </c>
      <c r="R15" s="97">
        <v>46041</v>
      </c>
      <c r="S15" s="25">
        <v>12</v>
      </c>
      <c r="T15" s="25" t="s">
        <v>176</v>
      </c>
      <c r="U15" s="25" t="s">
        <v>524</v>
      </c>
    </row>
    <row r="16" spans="1:21" x14ac:dyDescent="0.25">
      <c r="A16" s="25">
        <f t="shared" si="0"/>
        <v>139914</v>
      </c>
      <c r="B16" s="192">
        <v>46032</v>
      </c>
      <c r="C16" s="203">
        <v>2601</v>
      </c>
      <c r="D16" s="25" t="s">
        <v>512</v>
      </c>
      <c r="E16" s="25" t="s">
        <v>7</v>
      </c>
      <c r="F16" s="25" t="s">
        <v>221</v>
      </c>
      <c r="G16" s="25" t="s">
        <v>252</v>
      </c>
      <c r="H16" s="25" t="s">
        <v>260</v>
      </c>
      <c r="I16" s="25">
        <v>949</v>
      </c>
      <c r="J16" s="25">
        <v>18590</v>
      </c>
      <c r="K16" s="25">
        <v>186</v>
      </c>
      <c r="L16" s="25">
        <v>237</v>
      </c>
      <c r="M16" s="25">
        <f>Tbl_2026[[#This Row],[Gross Wt.]]-(Tbl_2026[[#This Row],[Pskal]]+Tbl_2026[[#This Row],[Pack Wt.]])</f>
        <v>18167</v>
      </c>
      <c r="N16" s="98">
        <v>1</v>
      </c>
      <c r="O16" s="25">
        <f>Tbl_2026[[#This Row],[Wt. Befor ratio]]*Tbl_2026[[#This Row],[Ratio]]</f>
        <v>18167</v>
      </c>
      <c r="P16" s="25" t="s">
        <v>84</v>
      </c>
      <c r="Q16" s="25">
        <v>2917</v>
      </c>
      <c r="R16" s="97">
        <v>46035</v>
      </c>
      <c r="S16" s="25">
        <v>3</v>
      </c>
      <c r="T16" s="25" t="s">
        <v>78</v>
      </c>
      <c r="U16" s="25"/>
    </row>
    <row r="17" spans="1:21" x14ac:dyDescent="0.25">
      <c r="A17" s="25">
        <f t="shared" si="0"/>
        <v>139915</v>
      </c>
      <c r="B17" s="192">
        <v>46034</v>
      </c>
      <c r="C17" s="203">
        <v>2601</v>
      </c>
      <c r="D17" s="25" t="s">
        <v>27</v>
      </c>
      <c r="E17" s="25" t="s">
        <v>206</v>
      </c>
      <c r="F17" s="25" t="s">
        <v>221</v>
      </c>
      <c r="G17" s="25" t="s">
        <v>252</v>
      </c>
      <c r="H17" s="25" t="s">
        <v>260</v>
      </c>
      <c r="I17" s="25">
        <v>1</v>
      </c>
      <c r="J17" s="25">
        <v>20</v>
      </c>
      <c r="K17" s="25">
        <v>0.2</v>
      </c>
      <c r="L17" s="25"/>
      <c r="M17" s="110">
        <f>Tbl_2026[[#This Row],[Gross Wt.]]-(Tbl_2026[[#This Row],[Pskal]]+Tbl_2026[[#This Row],[Pack Wt.]])</f>
        <v>19.8</v>
      </c>
      <c r="N17" s="98">
        <v>1</v>
      </c>
      <c r="O17" s="110">
        <f>Tbl_2026[[#This Row],[Wt. Befor ratio]]*Tbl_2026[[#This Row],[Ratio]]</f>
        <v>19.8</v>
      </c>
      <c r="P17" s="25" t="s">
        <v>84</v>
      </c>
      <c r="Q17" s="25">
        <v>2913</v>
      </c>
      <c r="R17" s="97">
        <v>46034</v>
      </c>
      <c r="S17" s="25" t="s">
        <v>58</v>
      </c>
      <c r="T17" s="25"/>
      <c r="U17" s="25" t="s">
        <v>513</v>
      </c>
    </row>
    <row r="18" spans="1:21" x14ac:dyDescent="0.25">
      <c r="A18" s="25">
        <f t="shared" si="0"/>
        <v>139916</v>
      </c>
      <c r="B18" s="192">
        <v>46034</v>
      </c>
      <c r="C18" s="203">
        <v>2604</v>
      </c>
      <c r="D18" s="25" t="s">
        <v>60</v>
      </c>
      <c r="E18" s="25" t="s">
        <v>204</v>
      </c>
      <c r="F18" s="25" t="s">
        <v>228</v>
      </c>
      <c r="G18" s="25" t="s">
        <v>253</v>
      </c>
      <c r="H18" s="25" t="s">
        <v>260</v>
      </c>
      <c r="I18" s="25">
        <v>130</v>
      </c>
      <c r="J18" s="25">
        <v>9040</v>
      </c>
      <c r="K18" s="25">
        <v>50</v>
      </c>
      <c r="L18" s="25">
        <v>33</v>
      </c>
      <c r="M18" s="25">
        <f>Tbl_2026[[#This Row],[Gross Wt.]]-(Tbl_2026[[#This Row],[Pskal]]+Tbl_2026[[#This Row],[Pack Wt.]])</f>
        <v>8957</v>
      </c>
      <c r="N18" s="100">
        <v>0.83</v>
      </c>
      <c r="O18" s="25">
        <f>Tbl_2026[[#This Row],[Wt. Befor ratio]]*Tbl_2026[[#This Row],[Ratio]]</f>
        <v>7434.3099999999995</v>
      </c>
      <c r="P18" s="25"/>
      <c r="Q18" s="25"/>
      <c r="R18" s="25"/>
      <c r="S18" s="25"/>
      <c r="T18" s="25" t="s">
        <v>176</v>
      </c>
      <c r="U18" s="25"/>
    </row>
    <row r="19" spans="1:21" x14ac:dyDescent="0.25">
      <c r="A19" s="25">
        <f t="shared" si="0"/>
        <v>139917</v>
      </c>
      <c r="B19" s="192">
        <v>46034</v>
      </c>
      <c r="C19" s="203">
        <v>2605</v>
      </c>
      <c r="D19" s="25" t="s">
        <v>60</v>
      </c>
      <c r="E19" s="25" t="s">
        <v>204</v>
      </c>
      <c r="F19" s="25" t="s">
        <v>228</v>
      </c>
      <c r="G19" s="25" t="s">
        <v>254</v>
      </c>
      <c r="H19" s="25" t="s">
        <v>260</v>
      </c>
      <c r="I19" s="25">
        <v>135</v>
      </c>
      <c r="J19" s="25">
        <v>8410</v>
      </c>
      <c r="K19" s="25">
        <v>50</v>
      </c>
      <c r="L19" s="25">
        <v>34</v>
      </c>
      <c r="M19" s="25">
        <f>Tbl_2026[[#This Row],[Gross Wt.]]-(Tbl_2026[[#This Row],[Pskal]]+Tbl_2026[[#This Row],[Pack Wt.]])</f>
        <v>8326</v>
      </c>
      <c r="N19" s="100">
        <v>0.83</v>
      </c>
      <c r="O19" s="25">
        <f>Tbl_2026[[#This Row],[Wt. Befor ratio]]*Tbl_2026[[#This Row],[Ratio]]</f>
        <v>6910.58</v>
      </c>
      <c r="P19" s="25"/>
      <c r="Q19" s="25"/>
      <c r="R19" s="25"/>
      <c r="S19" s="25"/>
      <c r="T19" s="25" t="s">
        <v>176</v>
      </c>
      <c r="U19" s="25"/>
    </row>
    <row r="20" spans="1:21" x14ac:dyDescent="0.25">
      <c r="A20" s="25">
        <f t="shared" si="0"/>
        <v>139918</v>
      </c>
      <c r="B20" s="192">
        <v>46034</v>
      </c>
      <c r="C20" s="203">
        <v>2604</v>
      </c>
      <c r="D20" s="25" t="s">
        <v>58</v>
      </c>
      <c r="E20" s="25" t="s">
        <v>217</v>
      </c>
      <c r="F20" s="25" t="s">
        <v>221</v>
      </c>
      <c r="G20" s="25" t="s">
        <v>253</v>
      </c>
      <c r="H20" s="25" t="s">
        <v>260</v>
      </c>
      <c r="I20" s="25">
        <v>441</v>
      </c>
      <c r="J20" s="25">
        <v>7580</v>
      </c>
      <c r="K20" s="25">
        <v>76</v>
      </c>
      <c r="L20" s="25">
        <v>110</v>
      </c>
      <c r="M20" s="25">
        <f>Tbl_2026[[#This Row],[Gross Wt.]]-(Tbl_2026[[#This Row],[Pskal]]+Tbl_2026[[#This Row],[Pack Wt.]])</f>
        <v>7394</v>
      </c>
      <c r="N20" s="98">
        <v>0.63</v>
      </c>
      <c r="O20" s="25">
        <f>Tbl_2026[[#This Row],[Wt. Befor ratio]]*Tbl_2026[[#This Row],[Ratio]]</f>
        <v>4658.22</v>
      </c>
      <c r="P20" s="25" t="s">
        <v>84</v>
      </c>
      <c r="Q20" s="25">
        <v>2914</v>
      </c>
      <c r="R20" s="97">
        <v>46034</v>
      </c>
      <c r="S20" s="25">
        <v>2</v>
      </c>
      <c r="T20" s="25" t="s">
        <v>152</v>
      </c>
      <c r="U20" s="25" t="s">
        <v>517</v>
      </c>
    </row>
    <row r="21" spans="1:21" x14ac:dyDescent="0.25">
      <c r="A21" s="25">
        <f t="shared" si="0"/>
        <v>139919</v>
      </c>
      <c r="B21" s="192">
        <v>46034</v>
      </c>
      <c r="C21" s="203">
        <v>2605</v>
      </c>
      <c r="D21" s="25" t="s">
        <v>58</v>
      </c>
      <c r="E21" s="25" t="s">
        <v>217</v>
      </c>
      <c r="F21" s="25" t="s">
        <v>221</v>
      </c>
      <c r="G21" s="25" t="s">
        <v>253</v>
      </c>
      <c r="H21" s="25" t="s">
        <v>260</v>
      </c>
      <c r="I21" s="25">
        <v>92</v>
      </c>
      <c r="J21" s="25">
        <v>850</v>
      </c>
      <c r="K21" s="25">
        <v>9</v>
      </c>
      <c r="L21" s="25">
        <v>23</v>
      </c>
      <c r="M21" s="25">
        <f>Tbl_2026[[#This Row],[Gross Wt.]]-(Tbl_2026[[#This Row],[Pskal]]+Tbl_2026[[#This Row],[Pack Wt.]])</f>
        <v>818</v>
      </c>
      <c r="N21" s="98">
        <v>0.35</v>
      </c>
      <c r="O21" s="25">
        <f>Tbl_2026[[#This Row],[Wt. Befor ratio]]*Tbl_2026[[#This Row],[Ratio]]</f>
        <v>286.29999999999995</v>
      </c>
      <c r="P21" s="25" t="s">
        <v>84</v>
      </c>
      <c r="Q21" s="25">
        <v>2914</v>
      </c>
      <c r="R21" s="97">
        <v>46034</v>
      </c>
      <c r="S21" s="25">
        <v>2</v>
      </c>
      <c r="T21" s="25" t="s">
        <v>152</v>
      </c>
      <c r="U21" s="25" t="s">
        <v>517</v>
      </c>
    </row>
    <row r="22" spans="1:21" x14ac:dyDescent="0.25">
      <c r="A22" s="25">
        <f t="shared" si="0"/>
        <v>139920</v>
      </c>
      <c r="B22" s="192">
        <v>46034</v>
      </c>
      <c r="C22" s="203">
        <v>2606</v>
      </c>
      <c r="D22" s="25" t="s">
        <v>58</v>
      </c>
      <c r="E22" s="25" t="s">
        <v>217</v>
      </c>
      <c r="F22" s="25" t="s">
        <v>221</v>
      </c>
      <c r="G22" s="25" t="s">
        <v>253</v>
      </c>
      <c r="H22" s="25" t="s">
        <v>260</v>
      </c>
      <c r="I22" s="25">
        <v>60</v>
      </c>
      <c r="J22" s="25">
        <v>1340</v>
      </c>
      <c r="K22" s="25">
        <v>13</v>
      </c>
      <c r="L22" s="25">
        <v>15</v>
      </c>
      <c r="M22" s="25">
        <f>Tbl_2026[[#This Row],[Gross Wt.]]-(Tbl_2026[[#This Row],[Pskal]]+Tbl_2026[[#This Row],[Pack Wt.]])</f>
        <v>1312</v>
      </c>
      <c r="N22" s="98">
        <v>0.4</v>
      </c>
      <c r="O22" s="25">
        <f>Tbl_2026[[#This Row],[Wt. Befor ratio]]*Tbl_2026[[#This Row],[Ratio]]</f>
        <v>524.80000000000007</v>
      </c>
      <c r="P22" s="25" t="s">
        <v>84</v>
      </c>
      <c r="Q22" s="25">
        <v>2914</v>
      </c>
      <c r="R22" s="97">
        <v>46034</v>
      </c>
      <c r="S22" s="25">
        <v>2</v>
      </c>
      <c r="T22" s="25" t="s">
        <v>152</v>
      </c>
      <c r="U22" s="25" t="s">
        <v>518</v>
      </c>
    </row>
    <row r="23" spans="1:21" x14ac:dyDescent="0.25">
      <c r="A23" s="25">
        <f t="shared" si="0"/>
        <v>139921</v>
      </c>
      <c r="B23" s="192">
        <v>46037</v>
      </c>
      <c r="C23" s="203">
        <v>2603</v>
      </c>
      <c r="D23" s="25" t="s">
        <v>95</v>
      </c>
      <c r="E23" s="25" t="s">
        <v>0</v>
      </c>
      <c r="F23" s="25" t="s">
        <v>221</v>
      </c>
      <c r="G23" s="25" t="s">
        <v>253</v>
      </c>
      <c r="H23" s="25" t="s">
        <v>260</v>
      </c>
      <c r="I23" s="25">
        <v>366</v>
      </c>
      <c r="J23" s="25">
        <v>8800</v>
      </c>
      <c r="K23" s="25">
        <v>75</v>
      </c>
      <c r="L23" s="25"/>
      <c r="M23" s="25">
        <f>Tbl_2026[[#This Row],[Gross Wt.]]-(Tbl_2026[[#This Row],[Pskal]]+Tbl_2026[[#This Row],[Pack Wt.]])</f>
        <v>8725</v>
      </c>
      <c r="N23" s="98">
        <v>0.66</v>
      </c>
      <c r="O23" s="25">
        <f>Tbl_2026[[#This Row],[Wt. Befor ratio]]*Tbl_2026[[#This Row],[Ratio]]</f>
        <v>5758.5</v>
      </c>
      <c r="P23" s="25"/>
      <c r="Q23" s="25"/>
      <c r="R23" s="25"/>
      <c r="S23" s="25"/>
      <c r="T23" s="25" t="s">
        <v>499</v>
      </c>
      <c r="U23" s="25"/>
    </row>
    <row r="24" spans="1:21" ht="15" customHeight="1" x14ac:dyDescent="0.25">
      <c r="A24" s="25">
        <f t="shared" si="0"/>
        <v>139922</v>
      </c>
      <c r="B24" s="192">
        <v>46037</v>
      </c>
      <c r="C24" s="203">
        <v>2604</v>
      </c>
      <c r="D24" s="25" t="s">
        <v>95</v>
      </c>
      <c r="E24" s="25" t="s">
        <v>0</v>
      </c>
      <c r="F24" s="25" t="s">
        <v>221</v>
      </c>
      <c r="G24" s="25" t="s">
        <v>253</v>
      </c>
      <c r="H24" s="25" t="s">
        <v>260</v>
      </c>
      <c r="I24" s="25">
        <v>240</v>
      </c>
      <c r="J24" s="25">
        <v>4870</v>
      </c>
      <c r="K24" s="25">
        <v>50</v>
      </c>
      <c r="L24" s="25"/>
      <c r="M24" s="25">
        <f>Tbl_2026[[#This Row],[Gross Wt.]]-(Tbl_2026[[#This Row],[Pskal]]+Tbl_2026[[#This Row],[Pack Wt.]])</f>
        <v>4820</v>
      </c>
      <c r="N24" s="98">
        <v>0.63</v>
      </c>
      <c r="O24" s="25">
        <f>Tbl_2026[[#This Row],[Wt. Befor ratio]]*Tbl_2026[[#This Row],[Ratio]]</f>
        <v>3036.6</v>
      </c>
      <c r="P24" s="25"/>
      <c r="Q24" s="25"/>
      <c r="R24" s="25"/>
      <c r="S24" s="25"/>
      <c r="T24" s="25" t="s">
        <v>499</v>
      </c>
      <c r="U24" s="25"/>
    </row>
    <row r="25" spans="1:21" x14ac:dyDescent="0.25">
      <c r="A25" s="25">
        <f t="shared" si="0"/>
        <v>139923</v>
      </c>
      <c r="B25" s="192">
        <v>46037</v>
      </c>
      <c r="C25" s="203">
        <v>2605</v>
      </c>
      <c r="D25" s="25" t="s">
        <v>95</v>
      </c>
      <c r="E25" s="25" t="s">
        <v>0</v>
      </c>
      <c r="F25" s="25" t="s">
        <v>221</v>
      </c>
      <c r="G25" s="25" t="s">
        <v>253</v>
      </c>
      <c r="H25" s="25" t="s">
        <v>260</v>
      </c>
      <c r="I25" s="25">
        <v>248</v>
      </c>
      <c r="J25" s="25">
        <v>5305</v>
      </c>
      <c r="K25" s="25">
        <v>50</v>
      </c>
      <c r="L25" s="25"/>
      <c r="M25" s="25">
        <f>Tbl_2026[[#This Row],[Gross Wt.]]-(Tbl_2026[[#This Row],[Pskal]]+Tbl_2026[[#This Row],[Pack Wt.]])</f>
        <v>5255</v>
      </c>
      <c r="N25" s="100">
        <v>0.61599999999999999</v>
      </c>
      <c r="O25" s="25">
        <f>Tbl_2026[[#This Row],[Wt. Befor ratio]]*Tbl_2026[[#This Row],[Ratio]]</f>
        <v>3237.08</v>
      </c>
      <c r="P25" s="25"/>
      <c r="Q25" s="25"/>
      <c r="R25" s="25"/>
      <c r="S25" s="25"/>
      <c r="T25" s="25" t="s">
        <v>499</v>
      </c>
      <c r="U25" s="25"/>
    </row>
    <row r="26" spans="1:21" x14ac:dyDescent="0.25">
      <c r="A26" s="25">
        <f t="shared" si="0"/>
        <v>139924</v>
      </c>
      <c r="B26" s="192">
        <v>46037</v>
      </c>
      <c r="C26" s="203">
        <v>2606</v>
      </c>
      <c r="D26" s="25" t="s">
        <v>60</v>
      </c>
      <c r="E26" s="25" t="s">
        <v>204</v>
      </c>
      <c r="F26" s="25" t="s">
        <v>228</v>
      </c>
      <c r="G26" s="25" t="s">
        <v>252</v>
      </c>
      <c r="H26" s="25" t="s">
        <v>260</v>
      </c>
      <c r="I26" s="25">
        <v>125</v>
      </c>
      <c r="J26" s="25">
        <v>8246</v>
      </c>
      <c r="K26" s="25">
        <v>50</v>
      </c>
      <c r="L26" s="25">
        <v>31</v>
      </c>
      <c r="M26" s="25">
        <f>Tbl_2026[[#This Row],[Gross Wt.]]-(Tbl_2026[[#This Row],[Pskal]]+Tbl_2026[[#This Row],[Pack Wt.]])</f>
        <v>8165</v>
      </c>
      <c r="N26" s="100">
        <v>0.81</v>
      </c>
      <c r="O26" s="25">
        <f>Tbl_2026[[#This Row],[Wt. Befor ratio]]*Tbl_2026[[#This Row],[Ratio]]</f>
        <v>6613.6500000000005</v>
      </c>
      <c r="P26" s="25" t="s">
        <v>84</v>
      </c>
      <c r="Q26" s="25">
        <v>2918</v>
      </c>
      <c r="R26" s="97">
        <v>46037</v>
      </c>
      <c r="S26" s="25">
        <v>12</v>
      </c>
      <c r="T26" s="25" t="s">
        <v>519</v>
      </c>
      <c r="U26" s="25" t="s">
        <v>498</v>
      </c>
    </row>
    <row r="27" spans="1:21" x14ac:dyDescent="0.25">
      <c r="A27" s="25">
        <f t="shared" si="0"/>
        <v>139925</v>
      </c>
      <c r="B27" s="192">
        <v>46038</v>
      </c>
      <c r="C27" s="203">
        <v>2602</v>
      </c>
      <c r="D27" s="25" t="s">
        <v>58</v>
      </c>
      <c r="E27" s="25" t="s">
        <v>219</v>
      </c>
      <c r="F27" s="25" t="s">
        <v>226</v>
      </c>
      <c r="G27" s="25" t="s">
        <v>253</v>
      </c>
      <c r="H27" s="25" t="s">
        <v>260</v>
      </c>
      <c r="I27" s="25">
        <v>290</v>
      </c>
      <c r="J27" s="25">
        <v>4140</v>
      </c>
      <c r="K27" s="25">
        <v>41</v>
      </c>
      <c r="L27" s="25">
        <v>73</v>
      </c>
      <c r="M27" s="25">
        <f>Tbl_2026[[#This Row],[Gross Wt.]]-(Tbl_2026[[#This Row],[Pskal]]+Tbl_2026[[#This Row],[Pack Wt.]])</f>
        <v>4026</v>
      </c>
      <c r="N27" s="98">
        <v>0.6</v>
      </c>
      <c r="O27" s="25">
        <f>Tbl_2026[[#This Row],[Wt. Befor ratio]]*Tbl_2026[[#This Row],[Ratio]]</f>
        <v>2415.6</v>
      </c>
      <c r="P27" s="25" t="s">
        <v>84</v>
      </c>
      <c r="Q27" s="25">
        <v>2924</v>
      </c>
      <c r="R27" s="97">
        <v>46042</v>
      </c>
      <c r="S27" s="25">
        <v>15</v>
      </c>
      <c r="T27" s="25" t="s">
        <v>77</v>
      </c>
      <c r="U27" s="25" t="s">
        <v>520</v>
      </c>
    </row>
    <row r="28" spans="1:21" x14ac:dyDescent="0.25">
      <c r="A28" s="25">
        <f t="shared" si="0"/>
        <v>139926</v>
      </c>
      <c r="B28" s="192">
        <v>46039</v>
      </c>
      <c r="C28" s="203">
        <v>2603</v>
      </c>
      <c r="D28" s="25" t="s">
        <v>58</v>
      </c>
      <c r="E28" s="25" t="s">
        <v>219</v>
      </c>
      <c r="F28" s="25" t="s">
        <v>226</v>
      </c>
      <c r="G28" s="25" t="s">
        <v>253</v>
      </c>
      <c r="H28" s="25" t="s">
        <v>260</v>
      </c>
      <c r="I28" s="25">
        <v>300</v>
      </c>
      <c r="J28" s="25">
        <v>2540</v>
      </c>
      <c r="K28" s="25">
        <v>25</v>
      </c>
      <c r="L28" s="25">
        <v>75</v>
      </c>
      <c r="M28" s="25">
        <f>Tbl_2026[[#This Row],[Gross Wt.]]-(Tbl_2026[[#This Row],[Pskal]]+Tbl_2026[[#This Row],[Pack Wt.]])</f>
        <v>2440</v>
      </c>
      <c r="N28" s="98">
        <v>0.61</v>
      </c>
      <c r="O28" s="25">
        <f>Tbl_2026[[#This Row],[Wt. Befor ratio]]*Tbl_2026[[#This Row],[Ratio]]</f>
        <v>1488.3999999999999</v>
      </c>
      <c r="P28" s="25" t="s">
        <v>84</v>
      </c>
      <c r="Q28" s="25">
        <v>2924</v>
      </c>
      <c r="R28" s="97">
        <v>46042</v>
      </c>
      <c r="S28" s="25">
        <v>15</v>
      </c>
      <c r="T28" s="25" t="s">
        <v>176</v>
      </c>
      <c r="U28" s="25" t="s">
        <v>521</v>
      </c>
    </row>
    <row r="29" spans="1:21" x14ac:dyDescent="0.25">
      <c r="A29" s="25">
        <f t="shared" si="0"/>
        <v>139927</v>
      </c>
      <c r="B29" s="192">
        <v>46041</v>
      </c>
      <c r="C29" s="203">
        <v>2601</v>
      </c>
      <c r="D29" s="25" t="s">
        <v>60</v>
      </c>
      <c r="E29" s="25" t="s">
        <v>198</v>
      </c>
      <c r="F29" s="25" t="s">
        <v>228</v>
      </c>
      <c r="G29" s="25" t="s">
        <v>252</v>
      </c>
      <c r="H29" s="25" t="s">
        <v>260</v>
      </c>
      <c r="I29" s="25">
        <v>80</v>
      </c>
      <c r="J29" s="25">
        <v>8490</v>
      </c>
      <c r="K29" s="25">
        <v>85</v>
      </c>
      <c r="L29" s="25"/>
      <c r="M29" s="25">
        <f>Tbl_2026[[#This Row],[Gross Wt.]]-(Tbl_2026[[#This Row],[Pskal]]+Tbl_2026[[#This Row],[Pack Wt.]])</f>
        <v>8405</v>
      </c>
      <c r="N29" s="98">
        <v>0.84</v>
      </c>
      <c r="O29" s="25">
        <f>Tbl_2026[[#This Row],[Wt. Befor ratio]]*Tbl_2026[[#This Row],[Ratio]]</f>
        <v>7060.2</v>
      </c>
      <c r="P29" s="25"/>
      <c r="Q29" s="25"/>
      <c r="R29" s="25"/>
      <c r="S29" s="25"/>
      <c r="T29" s="25" t="s">
        <v>176</v>
      </c>
      <c r="U29" s="25"/>
    </row>
    <row r="30" spans="1:21" x14ac:dyDescent="0.25">
      <c r="A30" s="25">
        <f t="shared" si="0"/>
        <v>139928</v>
      </c>
      <c r="B30" s="192">
        <v>46041</v>
      </c>
      <c r="C30" s="203">
        <v>2601</v>
      </c>
      <c r="D30" s="25" t="s">
        <v>32</v>
      </c>
      <c r="E30" s="25" t="s">
        <v>3</v>
      </c>
      <c r="F30" s="25" t="s">
        <v>221</v>
      </c>
      <c r="G30" s="25" t="s">
        <v>253</v>
      </c>
      <c r="H30" s="25" t="s">
        <v>260</v>
      </c>
      <c r="I30" s="25">
        <v>305</v>
      </c>
      <c r="J30" s="25">
        <v>5795</v>
      </c>
      <c r="K30" s="25">
        <v>50</v>
      </c>
      <c r="L30" s="25">
        <v>76</v>
      </c>
      <c r="M30" s="25">
        <f>Tbl_2026[[#This Row],[Gross Wt.]]-(Tbl_2026[[#This Row],[Pskal]]+Tbl_2026[[#This Row],[Pack Wt.]])</f>
        <v>5669</v>
      </c>
      <c r="N30" s="98">
        <v>0.51</v>
      </c>
      <c r="O30" s="25">
        <f>Tbl_2026[[#This Row],[Wt. Befor ratio]]*Tbl_2026[[#This Row],[Ratio]]</f>
        <v>2891.19</v>
      </c>
      <c r="P30" s="25"/>
      <c r="Q30" s="25"/>
      <c r="R30" s="25"/>
      <c r="S30" s="25"/>
      <c r="T30" s="25" t="s">
        <v>105</v>
      </c>
      <c r="U30" s="25"/>
    </row>
    <row r="31" spans="1:21" x14ac:dyDescent="0.25">
      <c r="A31" s="25">
        <f t="shared" si="0"/>
        <v>139929</v>
      </c>
      <c r="B31" s="192">
        <v>46043</v>
      </c>
      <c r="C31" s="203">
        <v>2601</v>
      </c>
      <c r="D31" s="25" t="s">
        <v>43</v>
      </c>
      <c r="E31" s="25" t="s">
        <v>210</v>
      </c>
      <c r="F31" s="25" t="s">
        <v>221</v>
      </c>
      <c r="G31" s="25" t="s">
        <v>255</v>
      </c>
      <c r="H31" s="25" t="s">
        <v>260</v>
      </c>
      <c r="I31" s="25">
        <v>441</v>
      </c>
      <c r="J31" s="25">
        <v>6060</v>
      </c>
      <c r="K31" s="25">
        <v>60</v>
      </c>
      <c r="L31" s="25"/>
      <c r="M31" s="25">
        <f>Tbl_2026[[#This Row],[Gross Wt.]]-(Tbl_2026[[#This Row],[Pskal]]+Tbl_2026[[#This Row],[Pack Wt.]])</f>
        <v>6000</v>
      </c>
      <c r="N31" s="98">
        <v>0.69</v>
      </c>
      <c r="O31" s="25">
        <f>Tbl_2026[[#This Row],[Wt. Befor ratio]]*Tbl_2026[[#This Row],[Ratio]]</f>
        <v>4140</v>
      </c>
      <c r="P31" s="25" t="s">
        <v>84</v>
      </c>
      <c r="Q31" s="25">
        <v>2928</v>
      </c>
      <c r="R31" s="158">
        <v>46044</v>
      </c>
      <c r="S31" s="25">
        <v>16</v>
      </c>
      <c r="T31" s="25" t="s">
        <v>176</v>
      </c>
      <c r="U31" s="25" t="s">
        <v>390</v>
      </c>
    </row>
    <row r="32" spans="1:21" x14ac:dyDescent="0.25">
      <c r="A32" s="25">
        <f t="shared" si="0"/>
        <v>139930</v>
      </c>
      <c r="B32" s="192">
        <v>46044</v>
      </c>
      <c r="C32" s="203">
        <v>2602</v>
      </c>
      <c r="D32" s="25" t="s">
        <v>43</v>
      </c>
      <c r="E32" s="25" t="s">
        <v>210</v>
      </c>
      <c r="F32" s="25" t="s">
        <v>221</v>
      </c>
      <c r="G32" s="25" t="s">
        <v>252</v>
      </c>
      <c r="H32" s="25" t="s">
        <v>260</v>
      </c>
      <c r="I32" s="25">
        <v>220</v>
      </c>
      <c r="J32" s="25">
        <v>3934</v>
      </c>
      <c r="K32" s="25">
        <v>40</v>
      </c>
      <c r="L32" s="25"/>
      <c r="M32" s="25">
        <f>Tbl_2026[[#This Row],[Gross Wt.]]-(Tbl_2026[[#This Row],[Pskal]]+Tbl_2026[[#This Row],[Pack Wt.]])</f>
        <v>3894</v>
      </c>
      <c r="N32" s="98">
        <v>0.63</v>
      </c>
      <c r="O32" s="25">
        <f>Tbl_2026[[#This Row],[Wt. Befor ratio]]*Tbl_2026[[#This Row],[Ratio]]</f>
        <v>2453.2199999999998</v>
      </c>
      <c r="P32" s="25" t="s">
        <v>84</v>
      </c>
      <c r="Q32" s="25">
        <v>2928</v>
      </c>
      <c r="R32" s="158">
        <v>46045</v>
      </c>
      <c r="S32" s="25">
        <v>16</v>
      </c>
      <c r="T32" s="25" t="s">
        <v>176</v>
      </c>
      <c r="U32" s="25" t="s">
        <v>390</v>
      </c>
    </row>
    <row r="33" spans="1:21" x14ac:dyDescent="0.25">
      <c r="A33" s="25">
        <f t="shared" si="0"/>
        <v>139931</v>
      </c>
      <c r="B33" s="192">
        <v>46044</v>
      </c>
      <c r="C33" s="203">
        <v>2603</v>
      </c>
      <c r="D33" s="25" t="s">
        <v>43</v>
      </c>
      <c r="E33" s="25" t="s">
        <v>210</v>
      </c>
      <c r="F33" s="25" t="s">
        <v>221</v>
      </c>
      <c r="G33" s="25" t="s">
        <v>252</v>
      </c>
      <c r="H33" s="25" t="s">
        <v>260</v>
      </c>
      <c r="I33" s="25">
        <v>220</v>
      </c>
      <c r="J33" s="25">
        <v>3932</v>
      </c>
      <c r="K33" s="25">
        <v>40</v>
      </c>
      <c r="L33" s="25"/>
      <c r="M33" s="25">
        <f>Tbl_2026[[#This Row],[Gross Wt.]]-(Tbl_2026[[#This Row],[Pskal]]+Tbl_2026[[#This Row],[Pack Wt.]])</f>
        <v>3892</v>
      </c>
      <c r="N33" s="98">
        <v>0.66</v>
      </c>
      <c r="O33" s="25">
        <f>Tbl_2026[[#This Row],[Wt. Befor ratio]]*Tbl_2026[[#This Row],[Ratio]]</f>
        <v>2568.7200000000003</v>
      </c>
      <c r="P33" s="25" t="s">
        <v>84</v>
      </c>
      <c r="Q33" s="25">
        <v>2928</v>
      </c>
      <c r="R33" s="158">
        <v>46046</v>
      </c>
      <c r="S33" s="25">
        <v>16</v>
      </c>
      <c r="T33" s="25" t="s">
        <v>77</v>
      </c>
      <c r="U33" s="25" t="s">
        <v>390</v>
      </c>
    </row>
    <row r="34" spans="1:21" x14ac:dyDescent="0.25">
      <c r="A34" s="25">
        <f t="shared" si="0"/>
        <v>139932</v>
      </c>
      <c r="B34" s="192">
        <v>46044</v>
      </c>
      <c r="C34" s="203">
        <v>2601</v>
      </c>
      <c r="D34" s="25" t="s">
        <v>59</v>
      </c>
      <c r="E34" s="25" t="s">
        <v>8</v>
      </c>
      <c r="F34" s="25" t="s">
        <v>221</v>
      </c>
      <c r="G34" s="25" t="s">
        <v>252</v>
      </c>
      <c r="H34" s="25" t="s">
        <v>260</v>
      </c>
      <c r="I34" s="25">
        <v>21</v>
      </c>
      <c r="J34" s="25">
        <v>506</v>
      </c>
      <c r="K34" s="25">
        <v>5</v>
      </c>
      <c r="L34" s="25"/>
      <c r="M34" s="25">
        <f>Tbl_2026[[#This Row],[Gross Wt.]]-(Tbl_2026[[#This Row],[Pskal]]+Tbl_2026[[#This Row],[Pack Wt.]])</f>
        <v>501</v>
      </c>
      <c r="N34" s="98">
        <v>0.69</v>
      </c>
      <c r="O34" s="25">
        <f>Tbl_2026[[#This Row],[Wt. Befor ratio]]*Tbl_2026[[#This Row],[Ratio]]</f>
        <v>345.69</v>
      </c>
      <c r="P34" s="25" t="s">
        <v>84</v>
      </c>
      <c r="Q34" s="25">
        <v>2930</v>
      </c>
      <c r="R34" s="158">
        <v>46048</v>
      </c>
      <c r="S34" s="25">
        <v>9</v>
      </c>
      <c r="T34" s="25" t="s">
        <v>77</v>
      </c>
      <c r="U34" s="25"/>
    </row>
    <row r="35" spans="1:21" x14ac:dyDescent="0.25">
      <c r="A35" s="25">
        <f t="shared" si="0"/>
        <v>139933</v>
      </c>
      <c r="B35" s="192">
        <v>46046</v>
      </c>
      <c r="C35" s="203">
        <v>2607</v>
      </c>
      <c r="D35" s="25" t="s">
        <v>60</v>
      </c>
      <c r="E35" s="25" t="s">
        <v>204</v>
      </c>
      <c r="F35" s="25" t="s">
        <v>221</v>
      </c>
      <c r="G35" s="25" t="s">
        <v>254</v>
      </c>
      <c r="H35" s="25" t="s">
        <v>260</v>
      </c>
      <c r="I35" s="25">
        <v>137</v>
      </c>
      <c r="J35" s="25">
        <v>8550</v>
      </c>
      <c r="K35" s="25">
        <v>50</v>
      </c>
      <c r="L35" s="25">
        <v>35</v>
      </c>
      <c r="M35" s="25">
        <f>Tbl_2026[[#This Row],[Gross Wt.]]-(Tbl_2026[[#This Row],[Pskal]]+Tbl_2026[[#This Row],[Pack Wt.]])</f>
        <v>8465</v>
      </c>
      <c r="N35" s="98">
        <v>0.82</v>
      </c>
      <c r="O35" s="25">
        <f>Tbl_2026[[#This Row],[Wt. Befor ratio]]*Tbl_2026[[#This Row],[Ratio]]</f>
        <v>6941.2999999999993</v>
      </c>
      <c r="P35" s="25"/>
      <c r="Q35" s="25"/>
      <c r="R35" s="25"/>
      <c r="S35" s="25"/>
      <c r="T35" s="25" t="s">
        <v>176</v>
      </c>
      <c r="U35" s="25"/>
    </row>
    <row r="36" spans="1:21" x14ac:dyDescent="0.25">
      <c r="A36" s="25">
        <f t="shared" si="0"/>
        <v>139934</v>
      </c>
      <c r="B36" s="192">
        <v>46046</v>
      </c>
      <c r="C36" s="203">
        <v>2602</v>
      </c>
      <c r="D36" s="25" t="s">
        <v>60</v>
      </c>
      <c r="E36" s="25" t="s">
        <v>198</v>
      </c>
      <c r="F36" s="25" t="s">
        <v>221</v>
      </c>
      <c r="G36" s="25" t="s">
        <v>252</v>
      </c>
      <c r="H36" s="25" t="s">
        <v>260</v>
      </c>
      <c r="I36" s="25">
        <v>104</v>
      </c>
      <c r="J36" s="25">
        <v>8700</v>
      </c>
      <c r="K36" s="25">
        <v>87</v>
      </c>
      <c r="L36" s="25"/>
      <c r="M36" s="25">
        <f>Tbl_2026[[#This Row],[Gross Wt.]]-(Tbl_2026[[#This Row],[Pskal]]+Tbl_2026[[#This Row],[Pack Wt.]])</f>
        <v>8613</v>
      </c>
      <c r="N36" s="98">
        <v>0.88600000000000001</v>
      </c>
      <c r="O36" s="25">
        <f>Tbl_2026[[#This Row],[Wt. Befor ratio]]*Tbl_2026[[#This Row],[Ratio]]</f>
        <v>7631.1180000000004</v>
      </c>
      <c r="P36" s="25"/>
      <c r="Q36" s="25"/>
      <c r="R36" s="25"/>
      <c r="S36" s="25"/>
      <c r="T36" s="25" t="s">
        <v>176</v>
      </c>
      <c r="U36" s="25"/>
    </row>
    <row r="37" spans="1:21" x14ac:dyDescent="0.25">
      <c r="A37" s="25">
        <f t="shared" si="0"/>
        <v>139935</v>
      </c>
      <c r="B37" s="192">
        <v>46046</v>
      </c>
      <c r="C37" s="204">
        <v>2601</v>
      </c>
      <c r="D37" s="111" t="s">
        <v>45</v>
      </c>
      <c r="E37" s="111" t="s">
        <v>209</v>
      </c>
      <c r="F37" s="111" t="s">
        <v>221</v>
      </c>
      <c r="G37" s="111" t="s">
        <v>252</v>
      </c>
      <c r="H37" s="111" t="s">
        <v>260</v>
      </c>
      <c r="I37" s="111">
        <v>609</v>
      </c>
      <c r="J37" s="111">
        <v>12083</v>
      </c>
      <c r="K37" s="111">
        <v>121</v>
      </c>
      <c r="L37" s="111"/>
      <c r="M37" s="25">
        <f>Tbl_2026[[#This Row],[Gross Wt.]]-(Tbl_2026[[#This Row],[Pskal]]+Tbl_2026[[#This Row],[Pack Wt.]])</f>
        <v>11962</v>
      </c>
      <c r="N37" s="108">
        <v>0.87</v>
      </c>
      <c r="O37" s="111">
        <f>Tbl_2026[[#This Row],[Wt. Befor ratio]]*Tbl_2026[[#This Row],[Ratio]]</f>
        <v>10406.94</v>
      </c>
      <c r="P37" s="111" t="s">
        <v>84</v>
      </c>
      <c r="Q37" s="111">
        <v>2931</v>
      </c>
      <c r="R37" s="155">
        <v>46050</v>
      </c>
      <c r="S37" s="111">
        <v>19</v>
      </c>
      <c r="T37" s="111" t="s">
        <v>77</v>
      </c>
      <c r="U37" s="111"/>
    </row>
    <row r="38" spans="1:21" x14ac:dyDescent="0.25">
      <c r="A38" s="25">
        <f t="shared" si="0"/>
        <v>139936</v>
      </c>
      <c r="B38" s="192">
        <v>46047</v>
      </c>
      <c r="C38" s="205">
        <v>2601</v>
      </c>
      <c r="D38" s="25" t="s">
        <v>48</v>
      </c>
      <c r="E38" s="25" t="s">
        <v>7</v>
      </c>
      <c r="F38" s="25" t="s">
        <v>221</v>
      </c>
      <c r="G38" s="25" t="s">
        <v>252</v>
      </c>
      <c r="H38" s="25" t="s">
        <v>260</v>
      </c>
      <c r="I38" s="25">
        <v>238</v>
      </c>
      <c r="J38" s="25">
        <v>4750</v>
      </c>
      <c r="K38" s="25">
        <v>50</v>
      </c>
      <c r="L38" s="25">
        <v>60</v>
      </c>
      <c r="M38" s="111">
        <f>Tbl_2026[[#This Row],[Gross Wt.]]-(Tbl_2026[[#This Row],[Pskal]]+Tbl_2026[[#This Row],[Pack Wt.]])</f>
        <v>4640</v>
      </c>
      <c r="N38" s="98">
        <v>0.97</v>
      </c>
      <c r="O38" s="111">
        <f>Tbl_2026[[#This Row],[Wt. Befor ratio]]*Tbl_2026[[#This Row],[Ratio]]</f>
        <v>4500.8</v>
      </c>
      <c r="P38" s="111" t="s">
        <v>84</v>
      </c>
      <c r="Q38" s="111">
        <v>2938</v>
      </c>
      <c r="R38" s="155">
        <v>46083</v>
      </c>
      <c r="S38" s="111">
        <v>3</v>
      </c>
      <c r="T38" s="25" t="s">
        <v>78</v>
      </c>
      <c r="U38" s="111"/>
    </row>
    <row r="39" spans="1:21" x14ac:dyDescent="0.25">
      <c r="A39" s="25">
        <f t="shared" si="0"/>
        <v>139937</v>
      </c>
      <c r="B39" s="192">
        <v>46047</v>
      </c>
      <c r="C39" s="205">
        <v>2601</v>
      </c>
      <c r="D39" s="25" t="s">
        <v>38</v>
      </c>
      <c r="E39" s="25" t="s">
        <v>0</v>
      </c>
      <c r="F39" s="25" t="s">
        <v>221</v>
      </c>
      <c r="G39" s="25" t="s">
        <v>255</v>
      </c>
      <c r="H39" s="25" t="s">
        <v>260</v>
      </c>
      <c r="I39" s="25">
        <v>520</v>
      </c>
      <c r="J39" s="25">
        <v>10000</v>
      </c>
      <c r="K39" s="25">
        <v>100</v>
      </c>
      <c r="L39" s="25"/>
      <c r="M39" s="25">
        <f>Tbl_2026[[#This Row],[Gross Wt.]]-(Tbl_2026[[#This Row],[Pskal]]+Tbl_2026[[#This Row],[Pack Wt.]])</f>
        <v>9900</v>
      </c>
      <c r="N39" s="98">
        <v>0.66</v>
      </c>
      <c r="O39" s="25">
        <f>Tbl_2026[[#This Row],[Wt. Befor ratio]]*Tbl_2026[[#This Row],[Ratio]]</f>
        <v>6534</v>
      </c>
      <c r="P39" s="25"/>
      <c r="Q39" s="25"/>
      <c r="R39" s="25"/>
      <c r="S39" s="25"/>
      <c r="T39" s="25" t="s">
        <v>83</v>
      </c>
      <c r="U39" s="25"/>
    </row>
    <row r="40" spans="1:21" x14ac:dyDescent="0.25">
      <c r="A40" s="25">
        <f t="shared" si="0"/>
        <v>139938</v>
      </c>
      <c r="B40" s="192">
        <v>46047</v>
      </c>
      <c r="C40" s="205">
        <v>2602</v>
      </c>
      <c r="D40" s="25" t="s">
        <v>38</v>
      </c>
      <c r="E40" s="25" t="s">
        <v>0</v>
      </c>
      <c r="F40" s="25" t="s">
        <v>221</v>
      </c>
      <c r="G40" s="25" t="s">
        <v>255</v>
      </c>
      <c r="H40" s="25" t="s">
        <v>260</v>
      </c>
      <c r="I40" s="25">
        <v>510</v>
      </c>
      <c r="J40" s="25">
        <v>9795</v>
      </c>
      <c r="K40" s="25">
        <v>100</v>
      </c>
      <c r="L40" s="25"/>
      <c r="M40" s="25">
        <f>Tbl_2026[[#This Row],[Gross Wt.]]-(Tbl_2026[[#This Row],[Pskal]]+Tbl_2026[[#This Row],[Pack Wt.]])</f>
        <v>9695</v>
      </c>
      <c r="N40" s="98">
        <v>0.64</v>
      </c>
      <c r="O40" s="25">
        <f>Tbl_2026[[#This Row],[Wt. Befor ratio]]*Tbl_2026[[#This Row],[Ratio]]</f>
        <v>6204.8</v>
      </c>
      <c r="P40" s="25"/>
      <c r="Q40" s="25"/>
      <c r="R40" s="25"/>
      <c r="S40" s="25"/>
      <c r="T40" s="25" t="s">
        <v>83</v>
      </c>
      <c r="U40" s="25"/>
    </row>
    <row r="41" spans="1:21" x14ac:dyDescent="0.25">
      <c r="A41" s="25">
        <f t="shared" si="0"/>
        <v>139939</v>
      </c>
      <c r="B41" s="192">
        <v>46048</v>
      </c>
      <c r="C41" s="205">
        <v>2606</v>
      </c>
      <c r="D41" s="25" t="s">
        <v>95</v>
      </c>
      <c r="E41" s="25" t="s">
        <v>0</v>
      </c>
      <c r="F41" s="25" t="s">
        <v>221</v>
      </c>
      <c r="G41" s="25" t="s">
        <v>255</v>
      </c>
      <c r="H41" s="25" t="s">
        <v>260</v>
      </c>
      <c r="I41" s="25">
        <v>350</v>
      </c>
      <c r="J41" s="25">
        <v>6700</v>
      </c>
      <c r="K41" s="25">
        <v>75</v>
      </c>
      <c r="L41" s="25"/>
      <c r="M41" s="25">
        <f>Tbl_2026[[#This Row],[Gross Wt.]]-(Tbl_2026[[#This Row],[Pskal]]+Tbl_2026[[#This Row],[Pack Wt.]])</f>
        <v>6625</v>
      </c>
      <c r="N41" s="98">
        <v>0.63</v>
      </c>
      <c r="O41" s="25">
        <f>Tbl_2026[[#This Row],[Wt. Befor ratio]]*Tbl_2026[[#This Row],[Ratio]]</f>
        <v>4173.75</v>
      </c>
      <c r="P41" s="25"/>
      <c r="Q41" s="25"/>
      <c r="R41" s="25"/>
      <c r="S41" s="25"/>
      <c r="T41" s="25" t="s">
        <v>124</v>
      </c>
      <c r="U41" s="25"/>
    </row>
    <row r="42" spans="1:21" x14ac:dyDescent="0.25">
      <c r="A42" s="25">
        <f t="shared" si="0"/>
        <v>139940</v>
      </c>
      <c r="B42" s="192">
        <v>46048</v>
      </c>
      <c r="C42" s="205">
        <v>2607</v>
      </c>
      <c r="D42" s="25" t="s">
        <v>95</v>
      </c>
      <c r="E42" s="25" t="s">
        <v>0</v>
      </c>
      <c r="F42" s="25" t="s">
        <v>221</v>
      </c>
      <c r="G42" s="25" t="s">
        <v>255</v>
      </c>
      <c r="H42" s="25" t="s">
        <v>260</v>
      </c>
      <c r="I42" s="25">
        <v>476</v>
      </c>
      <c r="J42" s="25">
        <v>9960</v>
      </c>
      <c r="K42" s="25">
        <v>100</v>
      </c>
      <c r="L42" s="25"/>
      <c r="M42" s="25">
        <f>Tbl_2026[[#This Row],[Gross Wt.]]-(Tbl_2026[[#This Row],[Pskal]]+Tbl_2026[[#This Row],[Pack Wt.]])</f>
        <v>9860</v>
      </c>
      <c r="N42" s="98">
        <v>0.61</v>
      </c>
      <c r="O42" s="25">
        <f>Tbl_2026[[#This Row],[Wt. Befor ratio]]*Tbl_2026[[#This Row],[Ratio]]</f>
        <v>6014.5999999999995</v>
      </c>
      <c r="P42" s="25"/>
      <c r="Q42" s="25"/>
      <c r="R42" s="25"/>
      <c r="S42" s="25"/>
      <c r="T42" s="25" t="s">
        <v>532</v>
      </c>
      <c r="U42" s="25"/>
    </row>
    <row r="43" spans="1:21" x14ac:dyDescent="0.25">
      <c r="A43" s="25">
        <f t="shared" si="0"/>
        <v>139941</v>
      </c>
      <c r="B43" s="192">
        <v>46049</v>
      </c>
      <c r="C43" s="205">
        <v>2602</v>
      </c>
      <c r="D43" s="25" t="s">
        <v>27</v>
      </c>
      <c r="E43" s="25" t="s">
        <v>0</v>
      </c>
      <c r="F43" s="25" t="s">
        <v>221</v>
      </c>
      <c r="G43" s="25" t="s">
        <v>255</v>
      </c>
      <c r="H43" s="25" t="s">
        <v>260</v>
      </c>
      <c r="I43" s="25">
        <v>228</v>
      </c>
      <c r="J43" s="25">
        <v>4632</v>
      </c>
      <c r="K43" s="25">
        <v>50</v>
      </c>
      <c r="L43" s="25"/>
      <c r="M43" s="25">
        <f>Tbl_2026[[#This Row],[Gross Wt.]]-(Tbl_2026[[#This Row],[Pskal]]+Tbl_2026[[#This Row],[Pack Wt.]])</f>
        <v>4582</v>
      </c>
      <c r="N43" s="98">
        <v>0.62</v>
      </c>
      <c r="O43" s="25">
        <f>Tbl_2026[[#This Row],[Wt. Befor ratio]]*Tbl_2026[[#This Row],[Ratio]]</f>
        <v>2840.84</v>
      </c>
      <c r="P43" s="25"/>
      <c r="Q43" s="25"/>
      <c r="R43" s="25"/>
      <c r="S43" s="25"/>
      <c r="T43" s="25" t="s">
        <v>83</v>
      </c>
      <c r="U43" s="25"/>
    </row>
    <row r="44" spans="1:21" x14ac:dyDescent="0.25">
      <c r="A44" s="25">
        <f t="shared" si="0"/>
        <v>139942</v>
      </c>
      <c r="B44" s="192">
        <v>46050</v>
      </c>
      <c r="C44" s="205">
        <v>2603</v>
      </c>
      <c r="D44" s="25" t="s">
        <v>27</v>
      </c>
      <c r="E44" s="25" t="s">
        <v>0</v>
      </c>
      <c r="F44" s="25" t="s">
        <v>221</v>
      </c>
      <c r="G44" s="25" t="s">
        <v>255</v>
      </c>
      <c r="H44" s="25" t="s">
        <v>260</v>
      </c>
      <c r="I44" s="25">
        <v>220</v>
      </c>
      <c r="J44" s="25">
        <v>4852</v>
      </c>
      <c r="K44" s="25">
        <v>50</v>
      </c>
      <c r="L44" s="25"/>
      <c r="M44" s="25">
        <f>Tbl_2026[[#This Row],[Gross Wt.]]-(Tbl_2026[[#This Row],[Pskal]]+Tbl_2026[[#This Row],[Pack Wt.]])</f>
        <v>4802</v>
      </c>
      <c r="N44" s="98">
        <v>0.64</v>
      </c>
      <c r="O44" s="25">
        <f>Tbl_2026[[#This Row],[Wt. Befor ratio]]*Tbl_2026[[#This Row],[Ratio]]</f>
        <v>3073.28</v>
      </c>
      <c r="P44" s="25"/>
      <c r="Q44" s="25"/>
      <c r="R44" s="25"/>
      <c r="S44" s="25"/>
      <c r="T44" s="25" t="s">
        <v>83</v>
      </c>
      <c r="U44" s="25"/>
    </row>
    <row r="45" spans="1:21" x14ac:dyDescent="0.25">
      <c r="A45" s="25">
        <f t="shared" si="0"/>
        <v>139943</v>
      </c>
      <c r="B45" s="192" t="s">
        <v>534</v>
      </c>
      <c r="C45" s="205">
        <v>2601</v>
      </c>
      <c r="D45" s="25" t="s">
        <v>29</v>
      </c>
      <c r="E45" s="25" t="s">
        <v>2</v>
      </c>
      <c r="F45" s="25" t="s">
        <v>221</v>
      </c>
      <c r="G45" s="25" t="s">
        <v>252</v>
      </c>
      <c r="H45" s="25" t="s">
        <v>260</v>
      </c>
      <c r="I45" s="25">
        <v>64</v>
      </c>
      <c r="J45" s="25">
        <v>1600</v>
      </c>
      <c r="K45" s="25">
        <v>16</v>
      </c>
      <c r="L45" s="25"/>
      <c r="M45" s="25">
        <f>Tbl_2026[[#This Row],[Gross Wt.]]-(Tbl_2026[[#This Row],[Pskal]]+Tbl_2026[[#This Row],[Pack Wt.]])</f>
        <v>1584</v>
      </c>
      <c r="N45" s="98">
        <v>0.88</v>
      </c>
      <c r="O45" s="25">
        <f>Tbl_2026[[#This Row],[Wt. Befor ratio]]*Tbl_2026[[#This Row],[Ratio]]</f>
        <v>1393.92</v>
      </c>
      <c r="P45" s="25" t="s">
        <v>84</v>
      </c>
      <c r="Q45" s="25">
        <v>2934</v>
      </c>
      <c r="R45" s="97">
        <v>46055</v>
      </c>
      <c r="S45" s="25">
        <v>8</v>
      </c>
      <c r="T45" s="25" t="s">
        <v>77</v>
      </c>
      <c r="U45" s="25"/>
    </row>
    <row r="46" spans="1:21" x14ac:dyDescent="0.25">
      <c r="A46" s="25">
        <f t="shared" si="0"/>
        <v>139944</v>
      </c>
      <c r="B46" s="192" t="s">
        <v>537</v>
      </c>
      <c r="C46" s="205">
        <v>2608</v>
      </c>
      <c r="D46" s="25" t="s">
        <v>95</v>
      </c>
      <c r="E46" s="25" t="s">
        <v>0</v>
      </c>
      <c r="F46" s="25" t="s">
        <v>221</v>
      </c>
      <c r="G46" s="25" t="s">
        <v>255</v>
      </c>
      <c r="H46" s="25" t="s">
        <v>260</v>
      </c>
      <c r="I46" s="25">
        <v>465</v>
      </c>
      <c r="J46" s="25">
        <v>11840</v>
      </c>
      <c r="K46" s="25">
        <v>100</v>
      </c>
      <c r="L46" s="25"/>
      <c r="M46" s="25">
        <f>Tbl_2026[[#This Row],[Gross Wt.]]-(Tbl_2026[[#This Row],[Pskal]]+Tbl_2026[[#This Row],[Pack Wt.]])</f>
        <v>11740</v>
      </c>
      <c r="N46" s="98">
        <v>0.73</v>
      </c>
      <c r="O46" s="25">
        <f>Tbl_2026[[#This Row],[Wt. Befor ratio]]*Tbl_2026[[#This Row],[Ratio]]</f>
        <v>8570.1999999999989</v>
      </c>
      <c r="P46" s="25"/>
      <c r="Q46" s="25"/>
      <c r="R46" s="25"/>
      <c r="S46" s="25"/>
      <c r="T46" s="25" t="s">
        <v>105</v>
      </c>
      <c r="U46" s="25" t="s">
        <v>538</v>
      </c>
    </row>
    <row r="47" spans="1:21" x14ac:dyDescent="0.25">
      <c r="A47" s="25">
        <f t="shared" si="0"/>
        <v>139945</v>
      </c>
      <c r="B47" s="192" t="s">
        <v>537</v>
      </c>
      <c r="C47" s="205">
        <v>2603</v>
      </c>
      <c r="D47" s="25" t="s">
        <v>60</v>
      </c>
      <c r="E47" s="25" t="s">
        <v>198</v>
      </c>
      <c r="F47" s="25" t="s">
        <v>221</v>
      </c>
      <c r="G47" s="25" t="s">
        <v>252</v>
      </c>
      <c r="H47" s="25" t="s">
        <v>260</v>
      </c>
      <c r="I47" s="25">
        <v>101</v>
      </c>
      <c r="J47" s="25">
        <v>9060</v>
      </c>
      <c r="K47" s="25">
        <v>91</v>
      </c>
      <c r="L47" s="25"/>
      <c r="M47" s="25">
        <f>Tbl_2026[[#This Row],[Gross Wt.]]-(Tbl_2026[[#This Row],[Pskal]]+Tbl_2026[[#This Row],[Pack Wt.]])</f>
        <v>8969</v>
      </c>
      <c r="N47" s="98">
        <v>0.87</v>
      </c>
      <c r="O47" s="25">
        <f>Tbl_2026[[#This Row],[Wt. Befor ratio]]*Tbl_2026[[#This Row],[Ratio]]</f>
        <v>7803.03</v>
      </c>
      <c r="P47" s="25"/>
      <c r="Q47" s="25"/>
      <c r="R47" s="25"/>
      <c r="S47" s="25"/>
      <c r="T47" s="25" t="s">
        <v>176</v>
      </c>
      <c r="U47" s="25"/>
    </row>
    <row r="48" spans="1:21" x14ac:dyDescent="0.25">
      <c r="A48" s="25">
        <f t="shared" si="0"/>
        <v>139946</v>
      </c>
      <c r="B48" s="192">
        <v>46054</v>
      </c>
      <c r="C48" s="205">
        <v>2608</v>
      </c>
      <c r="D48" s="25" t="s">
        <v>60</v>
      </c>
      <c r="E48" s="25" t="s">
        <v>204</v>
      </c>
      <c r="F48" s="25" t="s">
        <v>221</v>
      </c>
      <c r="G48" s="25" t="s">
        <v>255</v>
      </c>
      <c r="H48" s="25" t="s">
        <v>260</v>
      </c>
      <c r="I48" s="25">
        <v>124</v>
      </c>
      <c r="J48" s="25">
        <v>8650</v>
      </c>
      <c r="K48" s="25">
        <v>50</v>
      </c>
      <c r="L48" s="25">
        <v>31</v>
      </c>
      <c r="M48" s="25">
        <f>Tbl_2026[[#This Row],[Gross Wt.]]-(Tbl_2026[[#This Row],[Pskal]]+Tbl_2026[[#This Row],[Pack Wt.]])</f>
        <v>8569</v>
      </c>
      <c r="N48" s="98">
        <v>0.84</v>
      </c>
      <c r="O48" s="25">
        <f>Tbl_2026[[#This Row],[Wt. Befor ratio]]*Tbl_2026[[#This Row],[Ratio]]</f>
        <v>7197.96</v>
      </c>
      <c r="P48" s="25"/>
      <c r="Q48" s="25"/>
      <c r="R48" s="25"/>
      <c r="S48" s="25"/>
      <c r="T48" s="25" t="s">
        <v>176</v>
      </c>
      <c r="U48" s="25"/>
    </row>
    <row r="49" spans="1:21" x14ac:dyDescent="0.25">
      <c r="A49" s="25">
        <f t="shared" si="0"/>
        <v>139947</v>
      </c>
      <c r="B49" s="192">
        <v>46055</v>
      </c>
      <c r="C49" s="205">
        <v>2603</v>
      </c>
      <c r="D49" s="25" t="s">
        <v>38</v>
      </c>
      <c r="E49" s="25" t="s">
        <v>0</v>
      </c>
      <c r="F49" s="25" t="s">
        <v>221</v>
      </c>
      <c r="G49" s="25" t="s">
        <v>255</v>
      </c>
      <c r="H49" s="25" t="s">
        <v>260</v>
      </c>
      <c r="I49" s="25">
        <v>250</v>
      </c>
      <c r="J49" s="25">
        <v>5100</v>
      </c>
      <c r="K49" s="25">
        <v>50</v>
      </c>
      <c r="L49" s="25"/>
      <c r="M49" s="25">
        <f>Tbl_2026[[#This Row],[Gross Wt.]]-(Tbl_2026[[#This Row],[Pskal]]+Tbl_2026[[#This Row],[Pack Wt.]])</f>
        <v>5050</v>
      </c>
      <c r="N49" s="98">
        <v>0.67</v>
      </c>
      <c r="O49" s="25">
        <f>Tbl_2026[[#This Row],[Wt. Befor ratio]]*Tbl_2026[[#This Row],[Ratio]]</f>
        <v>3383.5</v>
      </c>
      <c r="P49" s="25"/>
      <c r="Q49" s="25"/>
      <c r="R49" s="25"/>
      <c r="S49" s="25"/>
      <c r="T49" s="25" t="s">
        <v>83</v>
      </c>
      <c r="U49" s="25"/>
    </row>
    <row r="50" spans="1:21" x14ac:dyDescent="0.25">
      <c r="A50" s="25">
        <f t="shared" si="0"/>
        <v>139948</v>
      </c>
      <c r="B50" s="192">
        <v>46055</v>
      </c>
      <c r="C50" s="205">
        <v>2604</v>
      </c>
      <c r="D50" s="25" t="s">
        <v>38</v>
      </c>
      <c r="E50" s="25" t="s">
        <v>0</v>
      </c>
      <c r="F50" s="25" t="s">
        <v>221</v>
      </c>
      <c r="G50" s="25" t="s">
        <v>255</v>
      </c>
      <c r="H50" s="25" t="s">
        <v>260</v>
      </c>
      <c r="I50" s="25">
        <v>236</v>
      </c>
      <c r="J50" s="25">
        <v>5072</v>
      </c>
      <c r="K50" s="25">
        <v>50</v>
      </c>
      <c r="L50" s="25"/>
      <c r="M50" s="25">
        <f>Tbl_2026[[#This Row],[Gross Wt.]]-(Tbl_2026[[#This Row],[Pskal]]+Tbl_2026[[#This Row],[Pack Wt.]])</f>
        <v>5022</v>
      </c>
      <c r="N50" s="98">
        <v>0.69</v>
      </c>
      <c r="O50" s="25">
        <f>Tbl_2026[[#This Row],[Wt. Befor ratio]]*Tbl_2026[[#This Row],[Ratio]]</f>
        <v>3465.18</v>
      </c>
      <c r="P50" s="25"/>
      <c r="Q50" s="25"/>
      <c r="R50" s="25"/>
      <c r="S50" s="25"/>
      <c r="T50" s="25" t="s">
        <v>83</v>
      </c>
      <c r="U50" s="25"/>
    </row>
    <row r="51" spans="1:21" x14ac:dyDescent="0.25">
      <c r="A51" s="25">
        <f t="shared" si="0"/>
        <v>139949</v>
      </c>
      <c r="B51" s="192">
        <v>46055</v>
      </c>
      <c r="C51" s="205">
        <v>2601</v>
      </c>
      <c r="D51" s="25" t="s">
        <v>29</v>
      </c>
      <c r="E51" s="25" t="s">
        <v>7</v>
      </c>
      <c r="F51" s="25" t="s">
        <v>221</v>
      </c>
      <c r="G51" s="25" t="s">
        <v>252</v>
      </c>
      <c r="H51" s="25" t="s">
        <v>260</v>
      </c>
      <c r="I51" s="25">
        <v>252</v>
      </c>
      <c r="J51" s="25">
        <v>5100</v>
      </c>
      <c r="K51" s="25">
        <v>51</v>
      </c>
      <c r="L51" s="25"/>
      <c r="M51" s="25">
        <f>Tbl_2026[[#This Row],[Gross Wt.]]-(Tbl_2026[[#This Row],[Pskal]]+Tbl_2026[[#This Row],[Pack Wt.]])</f>
        <v>5049</v>
      </c>
      <c r="N51" s="98">
        <v>0.97</v>
      </c>
      <c r="O51" s="25">
        <f>Tbl_2026[[#This Row],[Wt. Befor ratio]]*Tbl_2026[[#This Row],[Ratio]]</f>
        <v>4897.53</v>
      </c>
      <c r="P51" s="111" t="s">
        <v>84</v>
      </c>
      <c r="Q51" s="111">
        <v>2938</v>
      </c>
      <c r="R51" s="155">
        <v>46083</v>
      </c>
      <c r="S51" s="111">
        <v>3</v>
      </c>
      <c r="T51" s="25" t="s">
        <v>78</v>
      </c>
      <c r="U51" s="25"/>
    </row>
    <row r="52" spans="1:21" x14ac:dyDescent="0.25">
      <c r="A52" s="25">
        <f t="shared" si="0"/>
        <v>139950</v>
      </c>
      <c r="B52" s="192">
        <v>46055</v>
      </c>
      <c r="C52" s="205">
        <v>2601</v>
      </c>
      <c r="D52" s="25" t="s">
        <v>37</v>
      </c>
      <c r="E52" s="25" t="s">
        <v>210</v>
      </c>
      <c r="F52" s="25" t="s">
        <v>221</v>
      </c>
      <c r="G52" s="25" t="s">
        <v>252</v>
      </c>
      <c r="H52" s="25" t="s">
        <v>260</v>
      </c>
      <c r="I52" s="25">
        <v>235</v>
      </c>
      <c r="J52" s="25">
        <v>3150</v>
      </c>
      <c r="K52" s="25">
        <v>32</v>
      </c>
      <c r="L52" s="25"/>
      <c r="M52" s="25">
        <f>Tbl_2026[[#This Row],[Gross Wt.]]-(Tbl_2026[[#This Row],[Pskal]]+Tbl_2026[[#This Row],[Pack Wt.]])</f>
        <v>3118</v>
      </c>
      <c r="N52" s="98">
        <v>0.71</v>
      </c>
      <c r="O52" s="25">
        <f>Tbl_2026[[#This Row],[Wt. Befor ratio]]*Tbl_2026[[#This Row],[Ratio]]</f>
        <v>2213.7799999999997</v>
      </c>
      <c r="P52" s="25" t="s">
        <v>84</v>
      </c>
      <c r="Q52" s="25">
        <v>2936</v>
      </c>
      <c r="R52" s="97">
        <v>46055</v>
      </c>
      <c r="S52" s="25">
        <v>22</v>
      </c>
      <c r="T52" s="25"/>
      <c r="U52" s="25" t="s">
        <v>543</v>
      </c>
    </row>
    <row r="53" spans="1:21" x14ac:dyDescent="0.25">
      <c r="A53" s="25">
        <f t="shared" si="0"/>
        <v>139951</v>
      </c>
      <c r="B53" s="192">
        <v>46055</v>
      </c>
      <c r="C53" s="205">
        <v>2602</v>
      </c>
      <c r="D53" s="25" t="s">
        <v>37</v>
      </c>
      <c r="E53" s="25" t="s">
        <v>210</v>
      </c>
      <c r="F53" s="25" t="s">
        <v>221</v>
      </c>
      <c r="G53" s="25" t="s">
        <v>252</v>
      </c>
      <c r="H53" s="25" t="s">
        <v>260</v>
      </c>
      <c r="I53" s="25">
        <v>232</v>
      </c>
      <c r="J53" s="25">
        <v>3130</v>
      </c>
      <c r="K53" s="25">
        <v>31</v>
      </c>
      <c r="L53" s="25"/>
      <c r="M53" s="25">
        <f>Tbl_2026[[#This Row],[Gross Wt.]]-(Tbl_2026[[#This Row],[Pskal]]+Tbl_2026[[#This Row],[Pack Wt.]])</f>
        <v>3099</v>
      </c>
      <c r="N53" s="98">
        <v>0.71</v>
      </c>
      <c r="O53" s="25">
        <f>Tbl_2026[[#This Row],[Wt. Befor ratio]]*Tbl_2026[[#This Row],[Ratio]]</f>
        <v>2200.29</v>
      </c>
      <c r="P53" s="25" t="s">
        <v>84</v>
      </c>
      <c r="Q53" s="25">
        <v>2936</v>
      </c>
      <c r="R53" s="97">
        <v>46055</v>
      </c>
      <c r="S53" s="25">
        <v>22</v>
      </c>
      <c r="T53" s="25"/>
      <c r="U53" s="25" t="s">
        <v>543</v>
      </c>
    </row>
    <row r="54" spans="1:21" x14ac:dyDescent="0.25">
      <c r="A54" s="25">
        <f t="shared" si="0"/>
        <v>139952</v>
      </c>
      <c r="B54" s="192">
        <v>46056</v>
      </c>
      <c r="C54" s="205">
        <v>2603</v>
      </c>
      <c r="D54" s="25" t="s">
        <v>37</v>
      </c>
      <c r="E54" s="25" t="s">
        <v>210</v>
      </c>
      <c r="F54" s="25" t="s">
        <v>221</v>
      </c>
      <c r="G54" s="25" t="s">
        <v>252</v>
      </c>
      <c r="H54" s="25" t="s">
        <v>260</v>
      </c>
      <c r="I54" s="25">
        <v>238</v>
      </c>
      <c r="J54" s="25">
        <v>3215</v>
      </c>
      <c r="K54" s="25">
        <v>32</v>
      </c>
      <c r="L54" s="25"/>
      <c r="M54" s="25">
        <f>Tbl_2026[[#This Row],[Gross Wt.]]-(Tbl_2026[[#This Row],[Pskal]]+Tbl_2026[[#This Row],[Pack Wt.]])</f>
        <v>3183</v>
      </c>
      <c r="N54" s="98">
        <v>0.72</v>
      </c>
      <c r="O54" s="25">
        <f>Tbl_2026[[#This Row],[Wt. Befor ratio]]*Tbl_2026[[#This Row],[Ratio]]</f>
        <v>2291.7599999999998</v>
      </c>
      <c r="P54" s="25" t="s">
        <v>84</v>
      </c>
      <c r="Q54" s="25">
        <v>2936</v>
      </c>
      <c r="R54" s="97">
        <v>46083</v>
      </c>
      <c r="S54" s="25">
        <v>22</v>
      </c>
      <c r="T54" s="25"/>
      <c r="U54" s="25" t="s">
        <v>543</v>
      </c>
    </row>
    <row r="55" spans="1:21" x14ac:dyDescent="0.25">
      <c r="A55" s="25">
        <f t="shared" si="0"/>
        <v>139953</v>
      </c>
      <c r="B55" s="192">
        <v>46056</v>
      </c>
      <c r="C55" s="205">
        <v>2604</v>
      </c>
      <c r="D55" s="25" t="s">
        <v>58</v>
      </c>
      <c r="E55" s="25" t="s">
        <v>219</v>
      </c>
      <c r="F55" s="25" t="s">
        <v>221</v>
      </c>
      <c r="G55" s="25" t="s">
        <v>255</v>
      </c>
      <c r="H55" s="25" t="s">
        <v>61</v>
      </c>
      <c r="I55" s="25">
        <v>270</v>
      </c>
      <c r="J55" s="25">
        <v>2380</v>
      </c>
      <c r="K55" s="25">
        <v>24</v>
      </c>
      <c r="L55" s="25">
        <v>68</v>
      </c>
      <c r="M55" s="25">
        <f>Tbl_2026[[#This Row],[Gross Wt.]]-(Tbl_2026[[#This Row],[Pskal]]+Tbl_2026[[#This Row],[Pack Wt.]])</f>
        <v>2288</v>
      </c>
      <c r="N55" s="98"/>
      <c r="O55" s="25">
        <f>Tbl_2026[[#This Row],[Wt. Befor ratio]]*Tbl_2026[[#This Row],[Ratio]]</f>
        <v>0</v>
      </c>
      <c r="P55" s="25"/>
      <c r="Q55" s="25"/>
      <c r="R55" s="25"/>
      <c r="S55" s="25"/>
      <c r="T55" s="25" t="s">
        <v>105</v>
      </c>
      <c r="U55" s="25" t="s">
        <v>554</v>
      </c>
    </row>
    <row r="56" spans="1:21" x14ac:dyDescent="0.25">
      <c r="A56" s="25">
        <f t="shared" si="0"/>
        <v>139954</v>
      </c>
      <c r="B56" s="192">
        <v>46056</v>
      </c>
      <c r="C56" s="205">
        <v>2601</v>
      </c>
      <c r="D56" s="25" t="s">
        <v>58</v>
      </c>
      <c r="E56" s="25" t="s">
        <v>548</v>
      </c>
      <c r="F56" s="25" t="s">
        <v>221</v>
      </c>
      <c r="G56" s="25" t="s">
        <v>255</v>
      </c>
      <c r="H56" s="25" t="s">
        <v>260</v>
      </c>
      <c r="I56" s="25">
        <v>467</v>
      </c>
      <c r="J56" s="25">
        <v>8415</v>
      </c>
      <c r="K56" s="25">
        <v>84</v>
      </c>
      <c r="L56" s="25">
        <v>117</v>
      </c>
      <c r="M56" s="25">
        <f>Tbl_2026[[#This Row],[Gross Wt.]]-(Tbl_2026[[#This Row],[Pskal]]+Tbl_2026[[#This Row],[Pack Wt.]])</f>
        <v>8214</v>
      </c>
      <c r="N56" s="98">
        <v>0.17</v>
      </c>
      <c r="O56" s="25">
        <f>Tbl_2026[[#This Row],[Wt. Befor ratio]]*Tbl_2026[[#This Row],[Ratio]]</f>
        <v>1396.38</v>
      </c>
      <c r="P56" s="25"/>
      <c r="Q56" s="25"/>
      <c r="R56" s="25"/>
      <c r="S56" s="25"/>
      <c r="T56" s="25" t="s">
        <v>499</v>
      </c>
      <c r="U56" s="25" t="s">
        <v>555</v>
      </c>
    </row>
    <row r="57" spans="1:21" x14ac:dyDescent="0.25">
      <c r="A57" s="25">
        <f t="shared" si="0"/>
        <v>139955</v>
      </c>
      <c r="B57" s="192">
        <v>46056</v>
      </c>
      <c r="C57" s="205">
        <v>2602</v>
      </c>
      <c r="D57" s="25" t="s">
        <v>58</v>
      </c>
      <c r="E57" s="25" t="s">
        <v>548</v>
      </c>
      <c r="F57" s="25" t="s">
        <v>221</v>
      </c>
      <c r="G57" s="25" t="s">
        <v>255</v>
      </c>
      <c r="H57" s="25" t="s">
        <v>260</v>
      </c>
      <c r="I57" s="25">
        <v>399</v>
      </c>
      <c r="J57" s="25">
        <v>4100</v>
      </c>
      <c r="K57" s="25">
        <v>41</v>
      </c>
      <c r="L57" s="25">
        <v>100</v>
      </c>
      <c r="M57" s="25">
        <f>Tbl_2026[[#This Row],[Gross Wt.]]-(Tbl_2026[[#This Row],[Pskal]]+Tbl_2026[[#This Row],[Pack Wt.]])</f>
        <v>3959</v>
      </c>
      <c r="N57" s="98">
        <v>0.47</v>
      </c>
      <c r="O57" s="25">
        <f>Tbl_2026[[#This Row],[Wt. Befor ratio]]*Tbl_2026[[#This Row],[Ratio]]</f>
        <v>1860.7299999999998</v>
      </c>
      <c r="P57" s="25"/>
      <c r="Q57" s="25"/>
      <c r="R57" s="25"/>
      <c r="S57" s="25"/>
      <c r="T57" s="25" t="s">
        <v>499</v>
      </c>
      <c r="U57" s="25" t="s">
        <v>556</v>
      </c>
    </row>
    <row r="58" spans="1:21" x14ac:dyDescent="0.25">
      <c r="A58" s="25">
        <f t="shared" si="0"/>
        <v>139956</v>
      </c>
      <c r="B58" s="192">
        <v>46056</v>
      </c>
      <c r="C58" s="205">
        <v>2601</v>
      </c>
      <c r="D58" s="25" t="s">
        <v>58</v>
      </c>
      <c r="E58" s="25" t="s">
        <v>552</v>
      </c>
      <c r="F58" s="25" t="s">
        <v>228</v>
      </c>
      <c r="G58" s="25" t="s">
        <v>252</v>
      </c>
      <c r="H58" s="25" t="s">
        <v>61</v>
      </c>
      <c r="I58" s="25">
        <v>90</v>
      </c>
      <c r="J58" s="25">
        <v>2412</v>
      </c>
      <c r="K58" s="25"/>
      <c r="L58" s="25">
        <v>22</v>
      </c>
      <c r="M58" s="25">
        <f>Tbl_2026[[#This Row],[Gross Wt.]]-(Tbl_2026[[#This Row],[Pskal]]+Tbl_2026[[#This Row],[Pack Wt.]])</f>
        <v>2390</v>
      </c>
      <c r="N58" s="98">
        <v>1</v>
      </c>
      <c r="O58" s="25">
        <f>Tbl_2026[[#This Row],[Wt. Befor ratio]]*Tbl_2026[[#This Row],[Ratio]]</f>
        <v>2390</v>
      </c>
      <c r="P58" s="25" t="s">
        <v>84</v>
      </c>
      <c r="Q58" s="25">
        <v>2942</v>
      </c>
      <c r="R58" s="97">
        <v>46083</v>
      </c>
      <c r="S58" s="25">
        <v>23</v>
      </c>
      <c r="T58" s="25" t="s">
        <v>58</v>
      </c>
      <c r="U58" s="25" t="s">
        <v>553</v>
      </c>
    </row>
    <row r="59" spans="1:21" x14ac:dyDescent="0.25">
      <c r="A59" s="25">
        <f t="shared" si="0"/>
        <v>139957</v>
      </c>
      <c r="B59" s="192">
        <v>46056</v>
      </c>
      <c r="C59" s="205">
        <v>2601</v>
      </c>
      <c r="D59" s="25" t="s">
        <v>58</v>
      </c>
      <c r="E59" s="25" t="s">
        <v>550</v>
      </c>
      <c r="F59" s="25" t="s">
        <v>221</v>
      </c>
      <c r="G59" s="25" t="s">
        <v>252</v>
      </c>
      <c r="H59" s="25" t="s">
        <v>260</v>
      </c>
      <c r="I59" s="25">
        <v>42</v>
      </c>
      <c r="J59" s="25">
        <v>232</v>
      </c>
      <c r="K59" s="25"/>
      <c r="L59" s="25">
        <v>10</v>
      </c>
      <c r="M59" s="25">
        <f>Tbl_2026[[#This Row],[Gross Wt.]]-(Tbl_2026[[#This Row],[Pskal]]+Tbl_2026[[#This Row],[Pack Wt.]])</f>
        <v>222</v>
      </c>
      <c r="N59" s="98">
        <v>1</v>
      </c>
      <c r="O59" s="25">
        <f>Tbl_2026[[#This Row],[Wt. Befor ratio]]*Tbl_2026[[#This Row],[Ratio]]</f>
        <v>222</v>
      </c>
      <c r="P59" s="25" t="s">
        <v>84</v>
      </c>
      <c r="Q59" s="25">
        <v>2942</v>
      </c>
      <c r="R59" s="97">
        <v>46083</v>
      </c>
      <c r="S59" s="25">
        <v>23</v>
      </c>
      <c r="T59" s="25" t="s">
        <v>58</v>
      </c>
      <c r="U59" s="25"/>
    </row>
    <row r="60" spans="1:21" x14ac:dyDescent="0.25">
      <c r="A60" s="25">
        <f t="shared" si="0"/>
        <v>139958</v>
      </c>
      <c r="B60" s="192">
        <v>46057</v>
      </c>
      <c r="C60" s="205">
        <v>2601</v>
      </c>
      <c r="D60" s="25" t="s">
        <v>32</v>
      </c>
      <c r="E60" s="25" t="s">
        <v>204</v>
      </c>
      <c r="F60" s="25" t="s">
        <v>228</v>
      </c>
      <c r="G60" s="25" t="s">
        <v>255</v>
      </c>
      <c r="H60" s="25" t="s">
        <v>260</v>
      </c>
      <c r="I60" s="25">
        <v>110</v>
      </c>
      <c r="J60" s="25">
        <v>7655</v>
      </c>
      <c r="K60" s="25">
        <v>50</v>
      </c>
      <c r="L60" s="25">
        <v>28</v>
      </c>
      <c r="M60" s="25">
        <f>Tbl_2026[[#This Row],[Gross Wt.]]-(Tbl_2026[[#This Row],[Pskal]]+Tbl_2026[[#This Row],[Pack Wt.]])</f>
        <v>7577</v>
      </c>
      <c r="N60" s="100">
        <v>0.86199999999999999</v>
      </c>
      <c r="O60" s="25">
        <f>Tbl_2026[[#This Row],[Wt. Befor ratio]]*Tbl_2026[[#This Row],[Ratio]]</f>
        <v>6531.3739999999998</v>
      </c>
      <c r="P60" s="25"/>
      <c r="Q60" s="25"/>
      <c r="R60" s="25"/>
      <c r="S60" s="25"/>
      <c r="T60" s="25" t="s">
        <v>176</v>
      </c>
      <c r="U60" s="25" t="s">
        <v>107</v>
      </c>
    </row>
    <row r="61" spans="1:21" x14ac:dyDescent="0.25">
      <c r="A61" s="25">
        <f t="shared" si="0"/>
        <v>139959</v>
      </c>
      <c r="B61" s="192">
        <v>46057</v>
      </c>
      <c r="C61" s="205">
        <v>2601</v>
      </c>
      <c r="D61" s="25" t="s">
        <v>43</v>
      </c>
      <c r="E61" s="25" t="s">
        <v>209</v>
      </c>
      <c r="F61" s="25" t="s">
        <v>221</v>
      </c>
      <c r="G61" s="25" t="s">
        <v>252</v>
      </c>
      <c r="H61" s="25" t="s">
        <v>260</v>
      </c>
      <c r="I61" s="25">
        <v>241</v>
      </c>
      <c r="J61" s="25">
        <v>5644</v>
      </c>
      <c r="K61" s="25">
        <v>56</v>
      </c>
      <c r="L61" s="25"/>
      <c r="M61" s="25">
        <f>Tbl_2026[[#This Row],[Gross Wt.]]-(Tbl_2026[[#This Row],[Pskal]]+Tbl_2026[[#This Row],[Pack Wt.]])</f>
        <v>5588</v>
      </c>
      <c r="N61" s="98">
        <v>0.41</v>
      </c>
      <c r="O61" s="25">
        <f>Tbl_2026[[#This Row],[Wt. Befor ratio]]*Tbl_2026[[#This Row],[Ratio]]</f>
        <v>2291.08</v>
      </c>
      <c r="P61" s="25"/>
      <c r="Q61" s="25"/>
      <c r="R61" s="25"/>
      <c r="S61" s="25"/>
      <c r="T61" s="25" t="s">
        <v>77</v>
      </c>
      <c r="U61" s="25"/>
    </row>
    <row r="62" spans="1:21" x14ac:dyDescent="0.25">
      <c r="A62" s="25">
        <f t="shared" si="0"/>
        <v>139960</v>
      </c>
      <c r="B62" s="192">
        <v>46057</v>
      </c>
      <c r="C62" s="205">
        <v>2602</v>
      </c>
      <c r="D62" s="25" t="s">
        <v>43</v>
      </c>
      <c r="E62" s="25" t="s">
        <v>209</v>
      </c>
      <c r="F62" s="25" t="s">
        <v>221</v>
      </c>
      <c r="G62" s="25" t="s">
        <v>252</v>
      </c>
      <c r="H62" s="25" t="s">
        <v>260</v>
      </c>
      <c r="I62" s="25">
        <v>272</v>
      </c>
      <c r="J62" s="25">
        <v>6294</v>
      </c>
      <c r="K62" s="25">
        <v>63</v>
      </c>
      <c r="L62" s="25"/>
      <c r="M62" s="25">
        <f>Tbl_2026[[#This Row],[Gross Wt.]]-(Tbl_2026[[#This Row],[Pskal]]+Tbl_2026[[#This Row],[Pack Wt.]])</f>
        <v>6231</v>
      </c>
      <c r="N62" s="98">
        <v>0.44</v>
      </c>
      <c r="O62" s="25">
        <f>Tbl_2026[[#This Row],[Wt. Befor ratio]]*Tbl_2026[[#This Row],[Ratio]]</f>
        <v>2741.64</v>
      </c>
      <c r="P62" s="25" t="s">
        <v>84</v>
      </c>
      <c r="Q62" s="25">
        <v>2945</v>
      </c>
      <c r="R62" s="97">
        <v>46061</v>
      </c>
      <c r="S62" s="25">
        <v>19</v>
      </c>
      <c r="T62" s="25" t="s">
        <v>77</v>
      </c>
      <c r="U62" s="25"/>
    </row>
    <row r="63" spans="1:21" x14ac:dyDescent="0.25">
      <c r="A63" s="25">
        <f t="shared" si="0"/>
        <v>139961</v>
      </c>
      <c r="B63" s="192">
        <v>46058</v>
      </c>
      <c r="C63" s="205">
        <v>2602</v>
      </c>
      <c r="D63" s="25" t="s">
        <v>29</v>
      </c>
      <c r="E63" s="25" t="s">
        <v>7</v>
      </c>
      <c r="F63" s="25" t="s">
        <v>221</v>
      </c>
      <c r="G63" s="25" t="s">
        <v>252</v>
      </c>
      <c r="H63" s="25" t="s">
        <v>260</v>
      </c>
      <c r="I63" s="25">
        <v>235</v>
      </c>
      <c r="J63" s="25">
        <v>4780</v>
      </c>
      <c r="K63" s="25">
        <v>48</v>
      </c>
      <c r="L63" s="25"/>
      <c r="M63" s="25">
        <f>Tbl_2026[[#This Row],[Gross Wt.]]-(Tbl_2026[[#This Row],[Pskal]]+Tbl_2026[[#This Row],[Pack Wt.]])</f>
        <v>4732</v>
      </c>
      <c r="N63" s="98">
        <v>0.97</v>
      </c>
      <c r="O63" s="25">
        <f>Tbl_2026[[#This Row],[Wt. Befor ratio]]*Tbl_2026[[#This Row],[Ratio]]</f>
        <v>4590.04</v>
      </c>
      <c r="P63" s="25" t="s">
        <v>84</v>
      </c>
      <c r="Q63" s="25">
        <v>2946</v>
      </c>
      <c r="R63" s="97">
        <v>46061</v>
      </c>
      <c r="S63" s="25">
        <v>3</v>
      </c>
      <c r="T63" s="25" t="s">
        <v>78</v>
      </c>
      <c r="U63" s="25"/>
    </row>
    <row r="64" spans="1:21" x14ac:dyDescent="0.25">
      <c r="A64" s="25">
        <f t="shared" si="0"/>
        <v>139962</v>
      </c>
      <c r="B64" s="192">
        <v>46058</v>
      </c>
      <c r="C64" s="205">
        <v>2603</v>
      </c>
      <c r="D64" s="25" t="s">
        <v>43</v>
      </c>
      <c r="E64" s="25" t="s">
        <v>209</v>
      </c>
      <c r="F64" s="25" t="s">
        <v>221</v>
      </c>
      <c r="G64" s="25" t="s">
        <v>252</v>
      </c>
      <c r="H64" s="25" t="s">
        <v>260</v>
      </c>
      <c r="I64" s="25">
        <v>300</v>
      </c>
      <c r="J64" s="25">
        <v>6008</v>
      </c>
      <c r="K64" s="25">
        <v>60</v>
      </c>
      <c r="L64" s="25"/>
      <c r="M64" s="25">
        <f>Tbl_2026[[#This Row],[Gross Wt.]]-(Tbl_2026[[#This Row],[Pskal]]+Tbl_2026[[#This Row],[Pack Wt.]])</f>
        <v>5948</v>
      </c>
      <c r="N64" s="98">
        <v>0.41</v>
      </c>
      <c r="O64" s="25">
        <f>Tbl_2026[[#This Row],[Wt. Befor ratio]]*Tbl_2026[[#This Row],[Ratio]]</f>
        <v>2438.6799999999998</v>
      </c>
      <c r="P64" s="25" t="s">
        <v>84</v>
      </c>
      <c r="Q64" s="25">
        <v>2945</v>
      </c>
      <c r="R64" s="97">
        <v>46060</v>
      </c>
      <c r="S64" s="25">
        <v>19</v>
      </c>
      <c r="T64" s="25" t="s">
        <v>105</v>
      </c>
      <c r="U64" s="25"/>
    </row>
    <row r="65" spans="1:21" x14ac:dyDescent="0.25">
      <c r="A65" s="25">
        <f t="shared" si="0"/>
        <v>139963</v>
      </c>
      <c r="B65" s="192">
        <v>46058</v>
      </c>
      <c r="C65" s="205">
        <v>2604</v>
      </c>
      <c r="D65" s="25" t="s">
        <v>43</v>
      </c>
      <c r="E65" s="25" t="s">
        <v>209</v>
      </c>
      <c r="F65" s="25" t="s">
        <v>221</v>
      </c>
      <c r="G65" s="25" t="s">
        <v>252</v>
      </c>
      <c r="H65" s="25" t="s">
        <v>260</v>
      </c>
      <c r="I65" s="25">
        <v>273</v>
      </c>
      <c r="J65" s="25">
        <v>5450</v>
      </c>
      <c r="K65" s="25">
        <v>55</v>
      </c>
      <c r="L65" s="25"/>
      <c r="M65" s="25">
        <f>Tbl_2026[[#This Row],[Gross Wt.]]-(Tbl_2026[[#This Row],[Pskal]]+Tbl_2026[[#This Row],[Pack Wt.]])</f>
        <v>5395</v>
      </c>
      <c r="N65" s="98">
        <v>0.46</v>
      </c>
      <c r="O65" s="25">
        <f>Tbl_2026[[#This Row],[Wt. Befor ratio]]*Tbl_2026[[#This Row],[Ratio]]</f>
        <v>2481.7000000000003</v>
      </c>
      <c r="P65" s="25" t="s">
        <v>84</v>
      </c>
      <c r="Q65" s="25">
        <v>2945</v>
      </c>
      <c r="R65" s="97">
        <v>46060</v>
      </c>
      <c r="S65" s="25">
        <v>19</v>
      </c>
      <c r="T65" s="25" t="s">
        <v>105</v>
      </c>
      <c r="U65" s="25"/>
    </row>
    <row r="66" spans="1:21" x14ac:dyDescent="0.25">
      <c r="A66" s="25">
        <f t="shared" si="0"/>
        <v>139964</v>
      </c>
      <c r="B66" s="192">
        <v>46061</v>
      </c>
      <c r="C66" s="205">
        <v>2604</v>
      </c>
      <c r="D66" s="25" t="s">
        <v>60</v>
      </c>
      <c r="E66" s="25" t="s">
        <v>198</v>
      </c>
      <c r="F66" s="25" t="s">
        <v>228</v>
      </c>
      <c r="G66" s="25" t="s">
        <v>252</v>
      </c>
      <c r="H66" s="25" t="s">
        <v>260</v>
      </c>
      <c r="I66" s="25">
        <v>117</v>
      </c>
      <c r="J66" s="25">
        <v>9115</v>
      </c>
      <c r="K66" s="25">
        <v>91</v>
      </c>
      <c r="L66" s="25"/>
      <c r="M66" s="25">
        <f>Tbl_2026[[#This Row],[Gross Wt.]]-(Tbl_2026[[#This Row],[Pskal]]+Tbl_2026[[#This Row],[Pack Wt.]])</f>
        <v>9024</v>
      </c>
      <c r="N66" s="98">
        <v>0.86</v>
      </c>
      <c r="O66" s="25">
        <f>Tbl_2026[[#This Row],[Wt. Befor ratio]]*Tbl_2026[[#This Row],[Ratio]]</f>
        <v>7760.64</v>
      </c>
      <c r="P66" s="25"/>
      <c r="Q66" s="25"/>
      <c r="R66" s="25"/>
      <c r="S66" s="25"/>
      <c r="T66" s="25" t="s">
        <v>176</v>
      </c>
      <c r="U66" s="25"/>
    </row>
    <row r="67" spans="1:21" x14ac:dyDescent="0.25">
      <c r="A67" s="25" t="str">
        <f t="shared" si="0"/>
        <v/>
      </c>
      <c r="B67" s="192"/>
      <c r="C67" s="205"/>
      <c r="D67" s="25"/>
      <c r="E67" s="25"/>
      <c r="F67" s="25"/>
      <c r="G67" s="25"/>
      <c r="H67" s="25"/>
      <c r="I67" s="25"/>
      <c r="J67" s="25"/>
      <c r="K67" s="25"/>
      <c r="L67" s="25"/>
      <c r="M67" s="25">
        <f>Tbl_2026[[#This Row],[Gross Wt.]]-(Tbl_2026[[#This Row],[Pskal]]+Tbl_2026[[#This Row],[Pack Wt.]])</f>
        <v>0</v>
      </c>
      <c r="N67" s="98"/>
      <c r="O67" s="25">
        <f>Tbl_2026[[#This Row],[Wt. Befor ratio]]*Tbl_2026[[#This Row],[Ratio]]</f>
        <v>0</v>
      </c>
      <c r="P67" s="25"/>
      <c r="Q67" s="25"/>
      <c r="R67" s="25"/>
      <c r="S67" s="25"/>
      <c r="T67" s="25"/>
      <c r="U67" s="25"/>
    </row>
    <row r="68" spans="1:21" x14ac:dyDescent="0.25">
      <c r="A68" s="25" t="str">
        <f t="shared" ref="A68:A131" si="1">IF(B68&gt;0,A67+1,"")</f>
        <v/>
      </c>
      <c r="B68" s="192"/>
      <c r="C68" s="205"/>
      <c r="D68" s="25"/>
      <c r="E68" s="25"/>
      <c r="F68" s="25"/>
      <c r="G68" s="25"/>
      <c r="H68" s="25"/>
      <c r="I68" s="25"/>
      <c r="J68" s="25"/>
      <c r="K68" s="25"/>
      <c r="L68" s="25"/>
      <c r="M68" s="25">
        <f>Tbl_2026[[#This Row],[Gross Wt.]]-(Tbl_2026[[#This Row],[Pskal]]+Tbl_2026[[#This Row],[Pack Wt.]])</f>
        <v>0</v>
      </c>
      <c r="N68" s="98"/>
      <c r="O68" s="25">
        <f>Tbl_2026[[#This Row],[Wt. Befor ratio]]*Tbl_2026[[#This Row],[Ratio]]</f>
        <v>0</v>
      </c>
      <c r="P68" s="25"/>
      <c r="Q68" s="25"/>
      <c r="R68" s="25"/>
      <c r="S68" s="25"/>
      <c r="T68" s="25"/>
      <c r="U68" s="25"/>
    </row>
    <row r="69" spans="1:21" x14ac:dyDescent="0.25">
      <c r="A69" s="25" t="str">
        <f t="shared" si="1"/>
        <v/>
      </c>
      <c r="B69" s="192"/>
      <c r="C69" s="205"/>
      <c r="D69" s="25"/>
      <c r="E69" s="25"/>
      <c r="F69" s="25"/>
      <c r="G69" s="25"/>
      <c r="H69" s="25"/>
      <c r="I69" s="25"/>
      <c r="J69" s="25"/>
      <c r="K69" s="25"/>
      <c r="L69" s="25"/>
      <c r="M69" s="25">
        <f>Tbl_2026[[#This Row],[Gross Wt.]]-(Tbl_2026[[#This Row],[Pskal]]+Tbl_2026[[#This Row],[Pack Wt.]])</f>
        <v>0</v>
      </c>
      <c r="N69" s="98"/>
      <c r="O69" s="25">
        <f>Tbl_2026[[#This Row],[Wt. Befor ratio]]*Tbl_2026[[#This Row],[Ratio]]</f>
        <v>0</v>
      </c>
      <c r="P69" s="25"/>
      <c r="Q69" s="25"/>
      <c r="R69" s="25"/>
      <c r="S69" s="25"/>
      <c r="T69" s="25"/>
      <c r="U69" s="25"/>
    </row>
    <row r="70" spans="1:21" x14ac:dyDescent="0.25">
      <c r="A70" s="25" t="str">
        <f t="shared" si="1"/>
        <v/>
      </c>
      <c r="B70" s="192"/>
      <c r="C70" s="205"/>
      <c r="D70" s="25"/>
      <c r="E70" s="25"/>
      <c r="F70" s="25"/>
      <c r="G70" s="25"/>
      <c r="H70" s="25"/>
      <c r="I70" s="25"/>
      <c r="J70" s="25"/>
      <c r="K70" s="25"/>
      <c r="L70" s="25"/>
      <c r="M70" s="25">
        <f>Tbl_2026[[#This Row],[Gross Wt.]]-(Tbl_2026[[#This Row],[Pskal]]+Tbl_2026[[#This Row],[Pack Wt.]])</f>
        <v>0</v>
      </c>
      <c r="N70" s="98"/>
      <c r="O70" s="25">
        <f>Tbl_2026[[#This Row],[Wt. Befor ratio]]*Tbl_2026[[#This Row],[Ratio]]</f>
        <v>0</v>
      </c>
      <c r="P70" s="25"/>
      <c r="Q70" s="25"/>
      <c r="R70" s="25"/>
      <c r="S70" s="25"/>
      <c r="T70" s="25"/>
      <c r="U70" s="25"/>
    </row>
    <row r="71" spans="1:21" x14ac:dyDescent="0.25">
      <c r="A71" s="25" t="str">
        <f t="shared" si="1"/>
        <v/>
      </c>
      <c r="B71" s="192"/>
      <c r="C71" s="205"/>
      <c r="D71" s="25"/>
      <c r="E71" s="25"/>
      <c r="F71" s="25"/>
      <c r="G71" s="25"/>
      <c r="H71" s="25"/>
      <c r="I71" s="25"/>
      <c r="J71" s="25"/>
      <c r="K71" s="25"/>
      <c r="L71" s="25"/>
      <c r="M71" s="25">
        <f>Tbl_2026[[#This Row],[Gross Wt.]]-(Tbl_2026[[#This Row],[Pskal]]+Tbl_2026[[#This Row],[Pack Wt.]])</f>
        <v>0</v>
      </c>
      <c r="N71" s="98"/>
      <c r="O71" s="25">
        <f>Tbl_2026[[#This Row],[Wt. Befor ratio]]*Tbl_2026[[#This Row],[Ratio]]</f>
        <v>0</v>
      </c>
      <c r="P71" s="25"/>
      <c r="Q71" s="25"/>
      <c r="R71" s="25"/>
      <c r="S71" s="25"/>
      <c r="T71" s="25"/>
      <c r="U71" s="25"/>
    </row>
    <row r="72" spans="1:21" x14ac:dyDescent="0.25">
      <c r="A72" s="25" t="str">
        <f t="shared" si="1"/>
        <v/>
      </c>
      <c r="B72" s="192"/>
      <c r="C72" s="205"/>
      <c r="D72" s="25"/>
      <c r="E72" s="25"/>
      <c r="F72" s="25"/>
      <c r="G72" s="25"/>
      <c r="H72" s="25"/>
      <c r="I72" s="25"/>
      <c r="J72" s="25"/>
      <c r="K72" s="25"/>
      <c r="L72" s="25"/>
      <c r="M72" s="25">
        <f>Tbl_2026[[#This Row],[Gross Wt.]]-(Tbl_2026[[#This Row],[Pskal]]+Tbl_2026[[#This Row],[Pack Wt.]])</f>
        <v>0</v>
      </c>
      <c r="N72" s="98"/>
      <c r="O72" s="25">
        <f>Tbl_2026[[#This Row],[Wt. Befor ratio]]*Tbl_2026[[#This Row],[Ratio]]</f>
        <v>0</v>
      </c>
      <c r="P72" s="25"/>
      <c r="Q72" s="25"/>
      <c r="R72" s="25"/>
      <c r="S72" s="25"/>
      <c r="T72" s="25"/>
      <c r="U72" s="25"/>
    </row>
    <row r="73" spans="1:21" x14ac:dyDescent="0.25">
      <c r="A73" s="25" t="str">
        <f t="shared" si="1"/>
        <v/>
      </c>
      <c r="B73" s="192"/>
      <c r="C73" s="205"/>
      <c r="D73" s="25"/>
      <c r="E73" s="25"/>
      <c r="F73" s="25"/>
      <c r="G73" s="25"/>
      <c r="H73" s="25"/>
      <c r="I73" s="25"/>
      <c r="J73" s="25"/>
      <c r="K73" s="25"/>
      <c r="L73" s="25"/>
      <c r="M73" s="25">
        <f>Tbl_2026[[#This Row],[Gross Wt.]]-(Tbl_2026[[#This Row],[Pskal]]+Tbl_2026[[#This Row],[Pack Wt.]])</f>
        <v>0</v>
      </c>
      <c r="N73" s="98"/>
      <c r="O73" s="25">
        <f>Tbl_2026[[#This Row],[Wt. Befor ratio]]*Tbl_2026[[#This Row],[Ratio]]</f>
        <v>0</v>
      </c>
      <c r="P73" s="25"/>
      <c r="Q73" s="25"/>
      <c r="R73" s="25"/>
      <c r="S73" s="25"/>
      <c r="T73" s="25"/>
      <c r="U73" s="25"/>
    </row>
    <row r="74" spans="1:21" x14ac:dyDescent="0.25">
      <c r="A74" s="25" t="str">
        <f t="shared" si="1"/>
        <v/>
      </c>
      <c r="B74" s="192"/>
      <c r="C74" s="205"/>
      <c r="D74" s="25"/>
      <c r="E74" s="25"/>
      <c r="F74" s="25"/>
      <c r="G74" s="25"/>
      <c r="H74" s="25"/>
      <c r="I74" s="25"/>
      <c r="J74" s="25"/>
      <c r="K74" s="25"/>
      <c r="L74" s="25"/>
      <c r="M74" s="25">
        <f>Tbl_2026[[#This Row],[Gross Wt.]]-(Tbl_2026[[#This Row],[Pskal]]+Tbl_2026[[#This Row],[Pack Wt.]])</f>
        <v>0</v>
      </c>
      <c r="N74" s="98"/>
      <c r="O74" s="25">
        <f>Tbl_2026[[#This Row],[Wt. Befor ratio]]*Tbl_2026[[#This Row],[Ratio]]</f>
        <v>0</v>
      </c>
      <c r="P74" s="25"/>
      <c r="Q74" s="25"/>
      <c r="R74" s="25"/>
      <c r="S74" s="25"/>
      <c r="T74" s="25"/>
      <c r="U74" s="25"/>
    </row>
    <row r="75" spans="1:21" x14ac:dyDescent="0.25">
      <c r="A75" s="25" t="str">
        <f t="shared" si="1"/>
        <v/>
      </c>
      <c r="B75" s="192"/>
      <c r="C75" s="205"/>
      <c r="D75" s="25"/>
      <c r="E75" s="25"/>
      <c r="F75" s="25"/>
      <c r="G75" s="25"/>
      <c r="H75" s="25"/>
      <c r="I75" s="25"/>
      <c r="J75" s="25"/>
      <c r="K75" s="25"/>
      <c r="L75" s="25"/>
      <c r="M75" s="25">
        <f>Tbl_2026[[#This Row],[Gross Wt.]]-(Tbl_2026[[#This Row],[Pskal]]+Tbl_2026[[#This Row],[Pack Wt.]])</f>
        <v>0</v>
      </c>
      <c r="N75" s="98"/>
      <c r="O75" s="25">
        <f>Tbl_2026[[#This Row],[Wt. Befor ratio]]*Tbl_2026[[#This Row],[Ratio]]</f>
        <v>0</v>
      </c>
      <c r="P75" s="25"/>
      <c r="Q75" s="25"/>
      <c r="R75" s="25"/>
      <c r="S75" s="25"/>
      <c r="T75" s="25"/>
      <c r="U75" s="25"/>
    </row>
    <row r="76" spans="1:21" x14ac:dyDescent="0.25">
      <c r="A76" s="25" t="str">
        <f t="shared" si="1"/>
        <v/>
      </c>
      <c r="B76" s="192"/>
      <c r="C76" s="205"/>
      <c r="D76" s="25"/>
      <c r="E76" s="25"/>
      <c r="F76" s="25"/>
      <c r="G76" s="25"/>
      <c r="H76" s="25"/>
      <c r="I76" s="25"/>
      <c r="J76" s="25"/>
      <c r="K76" s="25"/>
      <c r="L76" s="25"/>
      <c r="M76" s="25">
        <f>Tbl_2026[[#This Row],[Gross Wt.]]-(Tbl_2026[[#This Row],[Pskal]]+Tbl_2026[[#This Row],[Pack Wt.]])</f>
        <v>0</v>
      </c>
      <c r="N76" s="98"/>
      <c r="O76" s="25">
        <f>Tbl_2026[[#This Row],[Wt. Befor ratio]]*Tbl_2026[[#This Row],[Ratio]]</f>
        <v>0</v>
      </c>
      <c r="P76" s="25"/>
      <c r="Q76" s="25"/>
      <c r="R76" s="25"/>
      <c r="S76" s="25"/>
      <c r="T76" s="25"/>
      <c r="U76" s="25"/>
    </row>
    <row r="77" spans="1:21" x14ac:dyDescent="0.25">
      <c r="A77" s="25" t="str">
        <f t="shared" si="1"/>
        <v/>
      </c>
      <c r="B77" s="192"/>
      <c r="C77" s="205"/>
      <c r="D77" s="25"/>
      <c r="E77" s="25"/>
      <c r="F77" s="25"/>
      <c r="G77" s="25"/>
      <c r="H77" s="25"/>
      <c r="I77" s="25"/>
      <c r="J77" s="25"/>
      <c r="K77" s="25"/>
      <c r="L77" s="25"/>
      <c r="M77" s="25">
        <f>Tbl_2026[[#This Row],[Gross Wt.]]-(Tbl_2026[[#This Row],[Pskal]]+Tbl_2026[[#This Row],[Pack Wt.]])</f>
        <v>0</v>
      </c>
      <c r="N77" s="98"/>
      <c r="O77" s="25">
        <f>Tbl_2026[[#This Row],[Wt. Befor ratio]]*Tbl_2026[[#This Row],[Ratio]]</f>
        <v>0</v>
      </c>
      <c r="P77" s="25"/>
      <c r="Q77" s="25"/>
      <c r="R77" s="25"/>
      <c r="S77" s="25"/>
      <c r="T77" s="25"/>
      <c r="U77" s="25"/>
    </row>
    <row r="78" spans="1:21" x14ac:dyDescent="0.25">
      <c r="A78" s="25" t="str">
        <f t="shared" si="1"/>
        <v/>
      </c>
      <c r="B78" s="192"/>
      <c r="C78" s="205"/>
      <c r="D78" s="25"/>
      <c r="E78" s="25"/>
      <c r="F78" s="25"/>
      <c r="G78" s="25"/>
      <c r="H78" s="25"/>
      <c r="I78" s="25"/>
      <c r="J78" s="25"/>
      <c r="K78" s="25"/>
      <c r="L78" s="25"/>
      <c r="M78" s="25">
        <f>Tbl_2026[[#This Row],[Gross Wt.]]-(Tbl_2026[[#This Row],[Pskal]]+Tbl_2026[[#This Row],[Pack Wt.]])</f>
        <v>0</v>
      </c>
      <c r="N78" s="98"/>
      <c r="O78" s="25">
        <f>Tbl_2026[[#This Row],[Wt. Befor ratio]]*Tbl_2026[[#This Row],[Ratio]]</f>
        <v>0</v>
      </c>
      <c r="P78" s="25"/>
      <c r="Q78" s="25"/>
      <c r="R78" s="25"/>
      <c r="S78" s="25"/>
      <c r="T78" s="25"/>
      <c r="U78" s="25"/>
    </row>
    <row r="79" spans="1:21" x14ac:dyDescent="0.25">
      <c r="A79" s="25" t="str">
        <f t="shared" si="1"/>
        <v/>
      </c>
      <c r="B79" s="192"/>
      <c r="C79" s="205"/>
      <c r="D79" s="25"/>
      <c r="E79" s="25"/>
      <c r="F79" s="25"/>
      <c r="G79" s="25"/>
      <c r="H79" s="25"/>
      <c r="I79" s="25"/>
      <c r="J79" s="25"/>
      <c r="K79" s="25"/>
      <c r="L79" s="25"/>
      <c r="M79" s="25">
        <f>Tbl_2026[[#This Row],[Gross Wt.]]-(Tbl_2026[[#This Row],[Pskal]]+Tbl_2026[[#This Row],[Pack Wt.]])</f>
        <v>0</v>
      </c>
      <c r="N79" s="98"/>
      <c r="O79" s="25">
        <f>Tbl_2026[[#This Row],[Wt. Befor ratio]]*Tbl_2026[[#This Row],[Ratio]]</f>
        <v>0</v>
      </c>
      <c r="P79" s="25"/>
      <c r="Q79" s="25"/>
      <c r="R79" s="25"/>
      <c r="S79" s="25"/>
      <c r="T79" s="25"/>
      <c r="U79" s="25"/>
    </row>
    <row r="80" spans="1:21" x14ac:dyDescent="0.25">
      <c r="A80" s="25" t="str">
        <f t="shared" si="1"/>
        <v/>
      </c>
      <c r="B80" s="192"/>
      <c r="C80" s="205"/>
      <c r="D80" s="25"/>
      <c r="E80" s="25"/>
      <c r="F80" s="25"/>
      <c r="G80" s="25"/>
      <c r="H80" s="25"/>
      <c r="I80" s="25"/>
      <c r="J80" s="25"/>
      <c r="K80" s="25"/>
      <c r="L80" s="25"/>
      <c r="M80" s="25">
        <f>Tbl_2026[[#This Row],[Gross Wt.]]-(Tbl_2026[[#This Row],[Pskal]]+Tbl_2026[[#This Row],[Pack Wt.]])</f>
        <v>0</v>
      </c>
      <c r="N80" s="98"/>
      <c r="O80" s="25">
        <f>Tbl_2026[[#This Row],[Wt. Befor ratio]]*Tbl_2026[[#This Row],[Ratio]]</f>
        <v>0</v>
      </c>
      <c r="P80" s="25"/>
      <c r="Q80" s="25"/>
      <c r="R80" s="25"/>
      <c r="S80" s="25"/>
      <c r="T80" s="25"/>
      <c r="U80" s="25"/>
    </row>
    <row r="81" spans="1:21" x14ac:dyDescent="0.25">
      <c r="A81" s="25" t="str">
        <f t="shared" si="1"/>
        <v/>
      </c>
      <c r="B81" s="192"/>
      <c r="C81" s="205"/>
      <c r="D81" s="25"/>
      <c r="E81" s="25"/>
      <c r="F81" s="25"/>
      <c r="G81" s="25"/>
      <c r="H81" s="25"/>
      <c r="I81" s="25"/>
      <c r="J81" s="25"/>
      <c r="K81" s="25"/>
      <c r="L81" s="25"/>
      <c r="M81" s="25">
        <f>Tbl_2026[[#This Row],[Gross Wt.]]-(Tbl_2026[[#This Row],[Pskal]]+Tbl_2026[[#This Row],[Pack Wt.]])</f>
        <v>0</v>
      </c>
      <c r="N81" s="98"/>
      <c r="O81" s="25">
        <f>Tbl_2026[[#This Row],[Wt. Befor ratio]]*Tbl_2026[[#This Row],[Ratio]]</f>
        <v>0</v>
      </c>
      <c r="P81" s="25"/>
      <c r="Q81" s="25"/>
      <c r="R81" s="25"/>
      <c r="S81" s="25"/>
      <c r="T81" s="25"/>
      <c r="U81" s="25"/>
    </row>
    <row r="82" spans="1:21" x14ac:dyDescent="0.25">
      <c r="A82" s="25" t="str">
        <f t="shared" si="1"/>
        <v/>
      </c>
      <c r="B82" s="192"/>
      <c r="C82" s="205"/>
      <c r="D82" s="25"/>
      <c r="E82" s="25"/>
      <c r="F82" s="25"/>
      <c r="G82" s="25"/>
      <c r="H82" s="25"/>
      <c r="I82" s="25"/>
      <c r="J82" s="25"/>
      <c r="K82" s="25"/>
      <c r="L82" s="25"/>
      <c r="M82" s="25">
        <f>Tbl_2026[[#This Row],[Gross Wt.]]-(Tbl_2026[[#This Row],[Pskal]]+Tbl_2026[[#This Row],[Pack Wt.]])</f>
        <v>0</v>
      </c>
      <c r="N82" s="98"/>
      <c r="O82" s="25">
        <f>Tbl_2026[[#This Row],[Wt. Befor ratio]]*Tbl_2026[[#This Row],[Ratio]]</f>
        <v>0</v>
      </c>
      <c r="P82" s="25"/>
      <c r="Q82" s="25"/>
      <c r="R82" s="25"/>
      <c r="S82" s="25"/>
      <c r="T82" s="25"/>
      <c r="U82" s="25"/>
    </row>
    <row r="83" spans="1:21" x14ac:dyDescent="0.25">
      <c r="A83" s="25" t="str">
        <f t="shared" si="1"/>
        <v/>
      </c>
      <c r="B83" s="192"/>
      <c r="C83" s="205"/>
      <c r="D83" s="25"/>
      <c r="E83" s="25"/>
      <c r="F83" s="25"/>
      <c r="G83" s="25"/>
      <c r="H83" s="25"/>
      <c r="I83" s="25"/>
      <c r="J83" s="25"/>
      <c r="K83" s="25"/>
      <c r="L83" s="25"/>
      <c r="M83" s="25">
        <f>Tbl_2026[[#This Row],[Gross Wt.]]-(Tbl_2026[[#This Row],[Pskal]]+Tbl_2026[[#This Row],[Pack Wt.]])</f>
        <v>0</v>
      </c>
      <c r="N83" s="98"/>
      <c r="O83" s="25">
        <f>Tbl_2026[[#This Row],[Wt. Befor ratio]]*Tbl_2026[[#This Row],[Ratio]]</f>
        <v>0</v>
      </c>
      <c r="P83" s="25"/>
      <c r="Q83" s="25"/>
      <c r="R83" s="25"/>
      <c r="S83" s="25"/>
      <c r="T83" s="25"/>
      <c r="U83" s="25"/>
    </row>
    <row r="84" spans="1:21" x14ac:dyDescent="0.25">
      <c r="A84" s="25" t="str">
        <f t="shared" si="1"/>
        <v/>
      </c>
      <c r="B84" s="192"/>
      <c r="C84" s="205"/>
      <c r="D84" s="25"/>
      <c r="E84" s="25"/>
      <c r="F84" s="25"/>
      <c r="G84" s="25"/>
      <c r="H84" s="25"/>
      <c r="I84" s="25"/>
      <c r="J84" s="25"/>
      <c r="K84" s="25"/>
      <c r="L84" s="25"/>
      <c r="M84" s="25">
        <f>Tbl_2026[[#This Row],[Gross Wt.]]-(Tbl_2026[[#This Row],[Pskal]]+Tbl_2026[[#This Row],[Pack Wt.]])</f>
        <v>0</v>
      </c>
      <c r="N84" s="98"/>
      <c r="O84" s="25">
        <f>Tbl_2026[[#This Row],[Wt. Befor ratio]]*Tbl_2026[[#This Row],[Ratio]]</f>
        <v>0</v>
      </c>
      <c r="P84" s="25"/>
      <c r="Q84" s="25"/>
      <c r="R84" s="25"/>
      <c r="S84" s="25"/>
      <c r="T84" s="25"/>
      <c r="U84" s="25"/>
    </row>
    <row r="85" spans="1:21" x14ac:dyDescent="0.25">
      <c r="A85" s="25" t="str">
        <f t="shared" si="1"/>
        <v/>
      </c>
      <c r="B85" s="192"/>
      <c r="C85" s="205"/>
      <c r="D85" s="25"/>
      <c r="E85" s="25"/>
      <c r="F85" s="25"/>
      <c r="G85" s="25"/>
      <c r="H85" s="25"/>
      <c r="I85" s="25"/>
      <c r="J85" s="25"/>
      <c r="K85" s="25"/>
      <c r="L85" s="25"/>
      <c r="M85" s="25">
        <f>Tbl_2026[[#This Row],[Gross Wt.]]-(Tbl_2026[[#This Row],[Pskal]]+Tbl_2026[[#This Row],[Pack Wt.]])</f>
        <v>0</v>
      </c>
      <c r="N85" s="98"/>
      <c r="O85" s="25">
        <f>Tbl_2026[[#This Row],[Wt. Befor ratio]]*Tbl_2026[[#This Row],[Ratio]]</f>
        <v>0</v>
      </c>
      <c r="P85" s="25"/>
      <c r="Q85" s="25"/>
      <c r="R85" s="25"/>
      <c r="S85" s="25"/>
      <c r="T85" s="25"/>
      <c r="U85" s="25"/>
    </row>
    <row r="86" spans="1:21" x14ac:dyDescent="0.25">
      <c r="A86" s="25" t="str">
        <f t="shared" si="1"/>
        <v/>
      </c>
      <c r="B86" s="192"/>
      <c r="C86" s="205"/>
      <c r="D86" s="25"/>
      <c r="E86" s="25"/>
      <c r="F86" s="25"/>
      <c r="G86" s="25"/>
      <c r="H86" s="25"/>
      <c r="I86" s="25"/>
      <c r="J86" s="25"/>
      <c r="K86" s="25"/>
      <c r="L86" s="25"/>
      <c r="M86" s="25">
        <f>Tbl_2026[[#This Row],[Gross Wt.]]-(Tbl_2026[[#This Row],[Pskal]]+Tbl_2026[[#This Row],[Pack Wt.]])</f>
        <v>0</v>
      </c>
      <c r="N86" s="98"/>
      <c r="O86" s="25">
        <f>Tbl_2026[[#This Row],[Wt. Befor ratio]]*Tbl_2026[[#This Row],[Ratio]]</f>
        <v>0</v>
      </c>
      <c r="P86" s="25"/>
      <c r="Q86" s="25"/>
      <c r="R86" s="25"/>
      <c r="S86" s="25"/>
      <c r="T86" s="25"/>
      <c r="U86" s="25"/>
    </row>
    <row r="87" spans="1:21" x14ac:dyDescent="0.25">
      <c r="A87" s="25" t="str">
        <f t="shared" si="1"/>
        <v/>
      </c>
      <c r="B87" s="192"/>
      <c r="C87" s="205"/>
      <c r="D87" s="25"/>
      <c r="E87" s="25"/>
      <c r="F87" s="25"/>
      <c r="G87" s="25"/>
      <c r="H87" s="25"/>
      <c r="I87" s="25"/>
      <c r="J87" s="25"/>
      <c r="K87" s="25"/>
      <c r="L87" s="25"/>
      <c r="M87" s="25">
        <f>Tbl_2026[[#This Row],[Gross Wt.]]-(Tbl_2026[[#This Row],[Pskal]]+Tbl_2026[[#This Row],[Pack Wt.]])</f>
        <v>0</v>
      </c>
      <c r="N87" s="98"/>
      <c r="O87" s="25">
        <f>Tbl_2026[[#This Row],[Wt. Befor ratio]]*Tbl_2026[[#This Row],[Ratio]]</f>
        <v>0</v>
      </c>
      <c r="P87" s="25"/>
      <c r="Q87" s="25"/>
      <c r="R87" s="25"/>
      <c r="S87" s="25"/>
      <c r="T87" s="25"/>
      <c r="U87" s="25"/>
    </row>
    <row r="88" spans="1:21" x14ac:dyDescent="0.25">
      <c r="A88" s="25" t="str">
        <f t="shared" si="1"/>
        <v/>
      </c>
      <c r="B88" s="192"/>
      <c r="C88" s="205"/>
      <c r="D88" s="25"/>
      <c r="E88" s="25"/>
      <c r="F88" s="25"/>
      <c r="G88" s="25"/>
      <c r="H88" s="25"/>
      <c r="I88" s="25"/>
      <c r="J88" s="25"/>
      <c r="K88" s="25"/>
      <c r="L88" s="25"/>
      <c r="M88" s="25">
        <f>Tbl_2026[[#This Row],[Gross Wt.]]-(Tbl_2026[[#This Row],[Pskal]]+Tbl_2026[[#This Row],[Pack Wt.]])</f>
        <v>0</v>
      </c>
      <c r="N88" s="98"/>
      <c r="O88" s="25">
        <f>Tbl_2026[[#This Row],[Wt. Befor ratio]]*Tbl_2026[[#This Row],[Ratio]]</f>
        <v>0</v>
      </c>
      <c r="P88" s="25"/>
      <c r="Q88" s="25"/>
      <c r="R88" s="25"/>
      <c r="S88" s="25"/>
      <c r="T88" s="25"/>
      <c r="U88" s="25"/>
    </row>
    <row r="89" spans="1:21" x14ac:dyDescent="0.25">
      <c r="A89" s="25" t="str">
        <f t="shared" si="1"/>
        <v/>
      </c>
      <c r="B89" s="192"/>
      <c r="C89" s="205"/>
      <c r="D89" s="25"/>
      <c r="E89" s="25"/>
      <c r="F89" s="25"/>
      <c r="G89" s="25"/>
      <c r="H89" s="25"/>
      <c r="I89" s="25"/>
      <c r="J89" s="25"/>
      <c r="K89" s="25"/>
      <c r="L89" s="25"/>
      <c r="M89" s="25">
        <f>Tbl_2026[[#This Row],[Gross Wt.]]-(Tbl_2026[[#This Row],[Pskal]]+Tbl_2026[[#This Row],[Pack Wt.]])</f>
        <v>0</v>
      </c>
      <c r="N89" s="98"/>
      <c r="O89" s="25">
        <f>Tbl_2026[[#This Row],[Wt. Befor ratio]]*Tbl_2026[[#This Row],[Ratio]]</f>
        <v>0</v>
      </c>
      <c r="P89" s="25"/>
      <c r="Q89" s="25"/>
      <c r="R89" s="25"/>
      <c r="S89" s="25"/>
      <c r="T89" s="25"/>
      <c r="U89" s="25"/>
    </row>
    <row r="90" spans="1:21" x14ac:dyDescent="0.25">
      <c r="A90" s="25" t="str">
        <f t="shared" si="1"/>
        <v/>
      </c>
      <c r="B90" s="192"/>
      <c r="C90" s="205"/>
      <c r="D90" s="25"/>
      <c r="E90" s="25"/>
      <c r="F90" s="25"/>
      <c r="G90" s="25"/>
      <c r="H90" s="25"/>
      <c r="I90" s="25"/>
      <c r="J90" s="25"/>
      <c r="K90" s="25"/>
      <c r="L90" s="25"/>
      <c r="M90" s="25">
        <f>Tbl_2026[[#This Row],[Gross Wt.]]-(Tbl_2026[[#This Row],[Pskal]]+Tbl_2026[[#This Row],[Pack Wt.]])</f>
        <v>0</v>
      </c>
      <c r="N90" s="98"/>
      <c r="O90" s="25">
        <f>Tbl_2026[[#This Row],[Wt. Befor ratio]]*Tbl_2026[[#This Row],[Ratio]]</f>
        <v>0</v>
      </c>
      <c r="P90" s="25"/>
      <c r="Q90" s="25"/>
      <c r="R90" s="25"/>
      <c r="S90" s="25"/>
      <c r="T90" s="25"/>
      <c r="U90" s="25"/>
    </row>
    <row r="91" spans="1:21" x14ac:dyDescent="0.25">
      <c r="A91" s="25" t="str">
        <f t="shared" si="1"/>
        <v/>
      </c>
      <c r="B91" s="192"/>
      <c r="C91" s="205"/>
      <c r="D91" s="25"/>
      <c r="E91" s="25"/>
      <c r="F91" s="25"/>
      <c r="G91" s="25"/>
      <c r="H91" s="25"/>
      <c r="I91" s="25"/>
      <c r="J91" s="25"/>
      <c r="K91" s="25"/>
      <c r="L91" s="25"/>
      <c r="M91" s="25">
        <f>Tbl_2026[[#This Row],[Gross Wt.]]-(Tbl_2026[[#This Row],[Pskal]]+Tbl_2026[[#This Row],[Pack Wt.]])</f>
        <v>0</v>
      </c>
      <c r="N91" s="98"/>
      <c r="O91" s="25">
        <f>Tbl_2026[[#This Row],[Wt. Befor ratio]]*Tbl_2026[[#This Row],[Ratio]]</f>
        <v>0</v>
      </c>
      <c r="P91" s="25"/>
      <c r="Q91" s="25"/>
      <c r="R91" s="25"/>
      <c r="S91" s="25"/>
      <c r="T91" s="25"/>
      <c r="U91" s="25"/>
    </row>
    <row r="92" spans="1:21" x14ac:dyDescent="0.25">
      <c r="A92" s="25" t="str">
        <f t="shared" si="1"/>
        <v/>
      </c>
      <c r="B92" s="192"/>
      <c r="C92" s="205"/>
      <c r="D92" s="25"/>
      <c r="E92" s="25"/>
      <c r="F92" s="25"/>
      <c r="G92" s="25"/>
      <c r="H92" s="25"/>
      <c r="I92" s="25"/>
      <c r="J92" s="25"/>
      <c r="K92" s="25"/>
      <c r="L92" s="25"/>
      <c r="M92" s="25">
        <f>Tbl_2026[[#This Row],[Gross Wt.]]-(Tbl_2026[[#This Row],[Pskal]]+Tbl_2026[[#This Row],[Pack Wt.]])</f>
        <v>0</v>
      </c>
      <c r="N92" s="98"/>
      <c r="O92" s="25">
        <f>Tbl_2026[[#This Row],[Wt. Befor ratio]]*Tbl_2026[[#This Row],[Ratio]]</f>
        <v>0</v>
      </c>
      <c r="P92" s="25"/>
      <c r="Q92" s="25"/>
      <c r="R92" s="25"/>
      <c r="S92" s="25"/>
      <c r="T92" s="25"/>
      <c r="U92" s="25"/>
    </row>
    <row r="93" spans="1:21" x14ac:dyDescent="0.25">
      <c r="A93" s="25" t="str">
        <f t="shared" si="1"/>
        <v/>
      </c>
      <c r="B93" s="192"/>
      <c r="C93" s="205"/>
      <c r="D93" s="25"/>
      <c r="E93" s="25"/>
      <c r="F93" s="25"/>
      <c r="G93" s="25"/>
      <c r="H93" s="25"/>
      <c r="I93" s="25"/>
      <c r="J93" s="25"/>
      <c r="K93" s="25"/>
      <c r="L93" s="25"/>
      <c r="M93" s="25">
        <f>Tbl_2026[[#This Row],[Gross Wt.]]-(Tbl_2026[[#This Row],[Pskal]]+Tbl_2026[[#This Row],[Pack Wt.]])</f>
        <v>0</v>
      </c>
      <c r="N93" s="98"/>
      <c r="O93" s="25">
        <f>Tbl_2026[[#This Row],[Wt. Befor ratio]]*Tbl_2026[[#This Row],[Ratio]]</f>
        <v>0</v>
      </c>
      <c r="P93" s="25"/>
      <c r="Q93" s="25"/>
      <c r="R93" s="25"/>
      <c r="S93" s="25"/>
      <c r="T93" s="25"/>
      <c r="U93" s="25"/>
    </row>
    <row r="94" spans="1:21" x14ac:dyDescent="0.25">
      <c r="A94" s="25" t="str">
        <f t="shared" si="1"/>
        <v/>
      </c>
      <c r="B94" s="192"/>
      <c r="C94" s="205"/>
      <c r="D94" s="25"/>
      <c r="E94" s="25"/>
      <c r="F94" s="25"/>
      <c r="G94" s="25"/>
      <c r="H94" s="25"/>
      <c r="I94" s="25"/>
      <c r="J94" s="25"/>
      <c r="K94" s="25"/>
      <c r="L94" s="25"/>
      <c r="M94" s="25">
        <f>Tbl_2026[[#This Row],[Gross Wt.]]-(Tbl_2026[[#This Row],[Pskal]]+Tbl_2026[[#This Row],[Pack Wt.]])</f>
        <v>0</v>
      </c>
      <c r="N94" s="98"/>
      <c r="O94" s="25">
        <f>Tbl_2026[[#This Row],[Wt. Befor ratio]]*Tbl_2026[[#This Row],[Ratio]]</f>
        <v>0</v>
      </c>
      <c r="P94" s="25"/>
      <c r="Q94" s="25"/>
      <c r="R94" s="25"/>
      <c r="S94" s="25"/>
      <c r="T94" s="25"/>
      <c r="U94" s="25"/>
    </row>
    <row r="95" spans="1:21" x14ac:dyDescent="0.25">
      <c r="A95" s="25" t="str">
        <f t="shared" si="1"/>
        <v/>
      </c>
      <c r="B95" s="192"/>
      <c r="C95" s="205"/>
      <c r="D95" s="25"/>
      <c r="E95" s="25"/>
      <c r="F95" s="25"/>
      <c r="G95" s="25"/>
      <c r="H95" s="25"/>
      <c r="I95" s="25"/>
      <c r="J95" s="25"/>
      <c r="K95" s="25"/>
      <c r="L95" s="25"/>
      <c r="M95" s="25">
        <f>Tbl_2026[[#This Row],[Gross Wt.]]-(Tbl_2026[[#This Row],[Pskal]]+Tbl_2026[[#This Row],[Pack Wt.]])</f>
        <v>0</v>
      </c>
      <c r="N95" s="98"/>
      <c r="O95" s="25">
        <f>Tbl_2026[[#This Row],[Wt. Befor ratio]]*Tbl_2026[[#This Row],[Ratio]]</f>
        <v>0</v>
      </c>
      <c r="P95" s="25"/>
      <c r="Q95" s="25"/>
      <c r="R95" s="25"/>
      <c r="S95" s="25"/>
      <c r="T95" s="25"/>
      <c r="U95" s="25"/>
    </row>
    <row r="96" spans="1:21" x14ac:dyDescent="0.25">
      <c r="A96" s="25" t="str">
        <f t="shared" si="1"/>
        <v/>
      </c>
      <c r="B96" s="192"/>
      <c r="C96" s="205"/>
      <c r="D96" s="25"/>
      <c r="E96" s="25"/>
      <c r="F96" s="25"/>
      <c r="G96" s="25"/>
      <c r="H96" s="25"/>
      <c r="I96" s="25"/>
      <c r="J96" s="25"/>
      <c r="K96" s="25"/>
      <c r="L96" s="25"/>
      <c r="M96" s="25">
        <f>Tbl_2026[[#This Row],[Gross Wt.]]-(Tbl_2026[[#This Row],[Pskal]]+Tbl_2026[[#This Row],[Pack Wt.]])</f>
        <v>0</v>
      </c>
      <c r="N96" s="98"/>
      <c r="O96" s="25">
        <f>Tbl_2026[[#This Row],[Wt. Befor ratio]]*Tbl_2026[[#This Row],[Ratio]]</f>
        <v>0</v>
      </c>
      <c r="P96" s="25"/>
      <c r="Q96" s="25"/>
      <c r="R96" s="25"/>
      <c r="S96" s="25"/>
      <c r="T96" s="25"/>
      <c r="U96" s="25"/>
    </row>
    <row r="97" spans="1:21" x14ac:dyDescent="0.25">
      <c r="A97" s="25" t="str">
        <f t="shared" si="1"/>
        <v/>
      </c>
      <c r="B97" s="192"/>
      <c r="C97" s="205"/>
      <c r="D97" s="25"/>
      <c r="E97" s="25"/>
      <c r="F97" s="25"/>
      <c r="G97" s="25"/>
      <c r="H97" s="25"/>
      <c r="I97" s="25"/>
      <c r="J97" s="25"/>
      <c r="K97" s="25"/>
      <c r="L97" s="25"/>
      <c r="M97" s="25">
        <f>Tbl_2026[[#This Row],[Gross Wt.]]-(Tbl_2026[[#This Row],[Pskal]]+Tbl_2026[[#This Row],[Pack Wt.]])</f>
        <v>0</v>
      </c>
      <c r="N97" s="98"/>
      <c r="O97" s="25">
        <f>Tbl_2026[[#This Row],[Wt. Befor ratio]]*Tbl_2026[[#This Row],[Ratio]]</f>
        <v>0</v>
      </c>
      <c r="P97" s="25"/>
      <c r="Q97" s="25"/>
      <c r="R97" s="25"/>
      <c r="S97" s="25"/>
      <c r="T97" s="25"/>
      <c r="U97" s="25"/>
    </row>
    <row r="98" spans="1:21" x14ac:dyDescent="0.25">
      <c r="A98" s="25" t="str">
        <f t="shared" si="1"/>
        <v/>
      </c>
      <c r="B98" s="192"/>
      <c r="C98" s="205"/>
      <c r="D98" s="25"/>
      <c r="E98" s="25"/>
      <c r="F98" s="25"/>
      <c r="G98" s="25"/>
      <c r="H98" s="25"/>
      <c r="I98" s="25"/>
      <c r="J98" s="25"/>
      <c r="K98" s="25"/>
      <c r="L98" s="25"/>
      <c r="M98" s="25">
        <f>Tbl_2026[[#This Row],[Gross Wt.]]-(Tbl_2026[[#This Row],[Pskal]]+Tbl_2026[[#This Row],[Pack Wt.]])</f>
        <v>0</v>
      </c>
      <c r="N98" s="98"/>
      <c r="O98" s="25">
        <f>Tbl_2026[[#This Row],[Wt. Befor ratio]]*Tbl_2026[[#This Row],[Ratio]]</f>
        <v>0</v>
      </c>
      <c r="P98" s="25"/>
      <c r="Q98" s="25"/>
      <c r="R98" s="25"/>
      <c r="S98" s="25"/>
      <c r="T98" s="25"/>
      <c r="U98" s="25"/>
    </row>
    <row r="99" spans="1:21" x14ac:dyDescent="0.25">
      <c r="A99" s="25" t="str">
        <f t="shared" si="1"/>
        <v/>
      </c>
      <c r="B99" s="192"/>
      <c r="C99" s="205"/>
      <c r="D99" s="25"/>
      <c r="E99" s="25"/>
      <c r="F99" s="25"/>
      <c r="G99" s="25"/>
      <c r="H99" s="25"/>
      <c r="I99" s="25"/>
      <c r="J99" s="25"/>
      <c r="K99" s="25"/>
      <c r="L99" s="25"/>
      <c r="M99" s="25">
        <f>Tbl_2026[[#This Row],[Gross Wt.]]-(Tbl_2026[[#This Row],[Pskal]]+Tbl_2026[[#This Row],[Pack Wt.]])</f>
        <v>0</v>
      </c>
      <c r="N99" s="98"/>
      <c r="O99" s="25">
        <f>Tbl_2026[[#This Row],[Wt. Befor ratio]]*Tbl_2026[[#This Row],[Ratio]]</f>
        <v>0</v>
      </c>
      <c r="P99" s="25"/>
      <c r="Q99" s="25"/>
      <c r="R99" s="25"/>
      <c r="S99" s="25"/>
      <c r="T99" s="25"/>
      <c r="U99" s="25"/>
    </row>
    <row r="100" spans="1:21" x14ac:dyDescent="0.25">
      <c r="A100" s="25" t="str">
        <f t="shared" si="1"/>
        <v/>
      </c>
      <c r="B100" s="192"/>
      <c r="C100" s="205"/>
      <c r="D100" s="25"/>
      <c r="E100" s="25"/>
      <c r="F100" s="25"/>
      <c r="G100" s="25"/>
      <c r="H100" s="25"/>
      <c r="I100" s="25"/>
      <c r="J100" s="25"/>
      <c r="K100" s="25"/>
      <c r="L100" s="25"/>
      <c r="M100" s="25">
        <f>Tbl_2026[[#This Row],[Gross Wt.]]-(Tbl_2026[[#This Row],[Pskal]]+Tbl_2026[[#This Row],[Pack Wt.]])</f>
        <v>0</v>
      </c>
      <c r="N100" s="98"/>
      <c r="O100" s="25">
        <f>Tbl_2026[[#This Row],[Wt. Befor ratio]]*Tbl_2026[[#This Row],[Ratio]]</f>
        <v>0</v>
      </c>
      <c r="P100" s="25"/>
      <c r="Q100" s="25"/>
      <c r="R100" s="25"/>
      <c r="S100" s="25"/>
      <c r="T100" s="25"/>
      <c r="U100" s="25"/>
    </row>
    <row r="101" spans="1:21" x14ac:dyDescent="0.25">
      <c r="A101" s="25" t="str">
        <f t="shared" si="1"/>
        <v/>
      </c>
      <c r="B101" s="192"/>
      <c r="C101" s="205"/>
      <c r="D101" s="25"/>
      <c r="E101" s="25"/>
      <c r="F101" s="25"/>
      <c r="G101" s="25"/>
      <c r="H101" s="25"/>
      <c r="I101" s="25"/>
      <c r="J101" s="25"/>
      <c r="K101" s="25"/>
      <c r="L101" s="25"/>
      <c r="M101" s="25">
        <f>Tbl_2026[[#This Row],[Gross Wt.]]-(Tbl_2026[[#This Row],[Pskal]]+Tbl_2026[[#This Row],[Pack Wt.]])</f>
        <v>0</v>
      </c>
      <c r="N101" s="98"/>
      <c r="O101" s="25">
        <f>Tbl_2026[[#This Row],[Wt. Befor ratio]]*Tbl_2026[[#This Row],[Ratio]]</f>
        <v>0</v>
      </c>
      <c r="P101" s="25"/>
      <c r="Q101" s="25"/>
      <c r="R101" s="25"/>
      <c r="S101" s="25"/>
      <c r="T101" s="25"/>
      <c r="U101" s="25"/>
    </row>
    <row r="102" spans="1:21" x14ac:dyDescent="0.25">
      <c r="A102" s="25" t="str">
        <f t="shared" si="1"/>
        <v/>
      </c>
      <c r="B102" s="192"/>
      <c r="C102" s="205"/>
      <c r="D102" s="25"/>
      <c r="E102" s="25"/>
      <c r="F102" s="25"/>
      <c r="G102" s="25"/>
      <c r="H102" s="25"/>
      <c r="I102" s="25"/>
      <c r="J102" s="25"/>
      <c r="K102" s="25"/>
      <c r="L102" s="25"/>
      <c r="M102" s="25">
        <f>Tbl_2026[[#This Row],[Gross Wt.]]-(Tbl_2026[[#This Row],[Pskal]]+Tbl_2026[[#This Row],[Pack Wt.]])</f>
        <v>0</v>
      </c>
      <c r="N102" s="98"/>
      <c r="O102" s="25">
        <f>Tbl_2026[[#This Row],[Wt. Befor ratio]]*Tbl_2026[[#This Row],[Ratio]]</f>
        <v>0</v>
      </c>
      <c r="P102" s="25"/>
      <c r="Q102" s="25"/>
      <c r="R102" s="25"/>
      <c r="S102" s="25"/>
      <c r="T102" s="25"/>
      <c r="U102" s="25"/>
    </row>
    <row r="103" spans="1:21" x14ac:dyDescent="0.25">
      <c r="A103" s="25" t="str">
        <f t="shared" si="1"/>
        <v/>
      </c>
      <c r="B103" s="192"/>
      <c r="C103" s="205"/>
      <c r="D103" s="25"/>
      <c r="E103" s="25"/>
      <c r="F103" s="25"/>
      <c r="G103" s="25"/>
      <c r="H103" s="25"/>
      <c r="I103" s="25"/>
      <c r="J103" s="25"/>
      <c r="K103" s="25"/>
      <c r="L103" s="25"/>
      <c r="M103" s="25">
        <f>Tbl_2026[[#This Row],[Gross Wt.]]-(Tbl_2026[[#This Row],[Pskal]]+Tbl_2026[[#This Row],[Pack Wt.]])</f>
        <v>0</v>
      </c>
      <c r="N103" s="98"/>
      <c r="O103" s="25">
        <f>Tbl_2026[[#This Row],[Wt. Befor ratio]]*Tbl_2026[[#This Row],[Ratio]]</f>
        <v>0</v>
      </c>
      <c r="P103" s="25"/>
      <c r="Q103" s="25"/>
      <c r="R103" s="25"/>
      <c r="S103" s="25"/>
      <c r="T103" s="25"/>
      <c r="U103" s="25"/>
    </row>
    <row r="104" spans="1:21" x14ac:dyDescent="0.25">
      <c r="A104" s="25" t="str">
        <f t="shared" si="1"/>
        <v/>
      </c>
      <c r="B104" s="192"/>
      <c r="C104" s="205"/>
      <c r="D104" s="25"/>
      <c r="E104" s="25"/>
      <c r="F104" s="25"/>
      <c r="G104" s="25"/>
      <c r="H104" s="25"/>
      <c r="I104" s="25"/>
      <c r="J104" s="25"/>
      <c r="K104" s="25"/>
      <c r="L104" s="25"/>
      <c r="M104" s="25">
        <f>Tbl_2026[[#This Row],[Gross Wt.]]-(Tbl_2026[[#This Row],[Pskal]]+Tbl_2026[[#This Row],[Pack Wt.]])</f>
        <v>0</v>
      </c>
      <c r="N104" s="98"/>
      <c r="O104" s="25">
        <f>Tbl_2026[[#This Row],[Wt. Befor ratio]]*Tbl_2026[[#This Row],[Ratio]]</f>
        <v>0</v>
      </c>
      <c r="P104" s="25"/>
      <c r="Q104" s="25"/>
      <c r="R104" s="25"/>
      <c r="S104" s="25"/>
      <c r="T104" s="25"/>
      <c r="U104" s="25"/>
    </row>
    <row r="105" spans="1:21" x14ac:dyDescent="0.25">
      <c r="A105" s="25" t="str">
        <f t="shared" si="1"/>
        <v/>
      </c>
      <c r="B105" s="192"/>
      <c r="C105" s="205"/>
      <c r="D105" s="25"/>
      <c r="E105" s="25"/>
      <c r="F105" s="25"/>
      <c r="G105" s="25"/>
      <c r="H105" s="25"/>
      <c r="I105" s="25"/>
      <c r="J105" s="25"/>
      <c r="K105" s="25"/>
      <c r="L105" s="25"/>
      <c r="M105" s="25">
        <f>Tbl_2026[[#This Row],[Gross Wt.]]-(Tbl_2026[[#This Row],[Pskal]]+Tbl_2026[[#This Row],[Pack Wt.]])</f>
        <v>0</v>
      </c>
      <c r="N105" s="98"/>
      <c r="O105" s="25">
        <f>Tbl_2026[[#This Row],[Wt. Befor ratio]]*Tbl_2026[[#This Row],[Ratio]]</f>
        <v>0</v>
      </c>
      <c r="P105" s="25"/>
      <c r="Q105" s="25"/>
      <c r="R105" s="25"/>
      <c r="S105" s="25"/>
      <c r="T105" s="25"/>
      <c r="U105" s="25"/>
    </row>
    <row r="106" spans="1:21" x14ac:dyDescent="0.25">
      <c r="A106" s="25" t="str">
        <f t="shared" si="1"/>
        <v/>
      </c>
      <c r="B106" s="192"/>
      <c r="C106" s="205"/>
      <c r="D106" s="25"/>
      <c r="E106" s="25"/>
      <c r="F106" s="25"/>
      <c r="G106" s="25"/>
      <c r="H106" s="25"/>
      <c r="I106" s="25"/>
      <c r="J106" s="25"/>
      <c r="K106" s="25"/>
      <c r="L106" s="25"/>
      <c r="M106" s="25">
        <f>Tbl_2026[[#This Row],[Gross Wt.]]-(Tbl_2026[[#This Row],[Pskal]]+Tbl_2026[[#This Row],[Pack Wt.]])</f>
        <v>0</v>
      </c>
      <c r="N106" s="98"/>
      <c r="O106" s="25">
        <f>Tbl_2026[[#This Row],[Wt. Befor ratio]]*Tbl_2026[[#This Row],[Ratio]]</f>
        <v>0</v>
      </c>
      <c r="P106" s="25"/>
      <c r="Q106" s="25"/>
      <c r="R106" s="25"/>
      <c r="S106" s="25"/>
      <c r="T106" s="25"/>
      <c r="U106" s="25"/>
    </row>
    <row r="107" spans="1:21" x14ac:dyDescent="0.25">
      <c r="A107" s="25" t="str">
        <f t="shared" si="1"/>
        <v/>
      </c>
      <c r="B107" s="192"/>
      <c r="C107" s="205"/>
      <c r="D107" s="25"/>
      <c r="E107" s="25"/>
      <c r="F107" s="25"/>
      <c r="G107" s="25"/>
      <c r="H107" s="25"/>
      <c r="I107" s="25"/>
      <c r="J107" s="25"/>
      <c r="K107" s="25"/>
      <c r="L107" s="25"/>
      <c r="M107" s="25">
        <f>Tbl_2026[[#This Row],[Gross Wt.]]-(Tbl_2026[[#This Row],[Pskal]]+Tbl_2026[[#This Row],[Pack Wt.]])</f>
        <v>0</v>
      </c>
      <c r="N107" s="98"/>
      <c r="O107" s="25">
        <f>Tbl_2026[[#This Row],[Wt. Befor ratio]]*Tbl_2026[[#This Row],[Ratio]]</f>
        <v>0</v>
      </c>
      <c r="P107" s="25"/>
      <c r="Q107" s="25"/>
      <c r="R107" s="25"/>
      <c r="S107" s="25"/>
      <c r="T107" s="25"/>
      <c r="U107" s="25"/>
    </row>
    <row r="108" spans="1:21" x14ac:dyDescent="0.25">
      <c r="A108" s="25" t="str">
        <f t="shared" si="1"/>
        <v/>
      </c>
      <c r="B108" s="192"/>
      <c r="C108" s="205"/>
      <c r="D108" s="25"/>
      <c r="E108" s="25"/>
      <c r="F108" s="25"/>
      <c r="G108" s="25"/>
      <c r="H108" s="25"/>
      <c r="I108" s="25"/>
      <c r="J108" s="25"/>
      <c r="K108" s="25"/>
      <c r="L108" s="25"/>
      <c r="M108" s="25">
        <f>Tbl_2026[[#This Row],[Gross Wt.]]-(Tbl_2026[[#This Row],[Pskal]]+Tbl_2026[[#This Row],[Pack Wt.]])</f>
        <v>0</v>
      </c>
      <c r="N108" s="98"/>
      <c r="O108" s="25">
        <f>Tbl_2026[[#This Row],[Wt. Befor ratio]]*Tbl_2026[[#This Row],[Ratio]]</f>
        <v>0</v>
      </c>
      <c r="P108" s="25"/>
      <c r="Q108" s="25"/>
      <c r="R108" s="25"/>
      <c r="S108" s="25"/>
      <c r="T108" s="25"/>
      <c r="U108" s="25"/>
    </row>
    <row r="109" spans="1:21" x14ac:dyDescent="0.25">
      <c r="A109" s="25" t="str">
        <f t="shared" si="1"/>
        <v/>
      </c>
      <c r="B109" s="192"/>
      <c r="C109" s="205"/>
      <c r="D109" s="25"/>
      <c r="E109" s="25"/>
      <c r="F109" s="25"/>
      <c r="G109" s="25"/>
      <c r="H109" s="25"/>
      <c r="I109" s="25"/>
      <c r="J109" s="25"/>
      <c r="K109" s="25"/>
      <c r="L109" s="25"/>
      <c r="M109" s="25">
        <f>Tbl_2026[[#This Row],[Gross Wt.]]-(Tbl_2026[[#This Row],[Pskal]]+Tbl_2026[[#This Row],[Pack Wt.]])</f>
        <v>0</v>
      </c>
      <c r="N109" s="98"/>
      <c r="O109" s="25">
        <f>Tbl_2026[[#This Row],[Wt. Befor ratio]]*Tbl_2026[[#This Row],[Ratio]]</f>
        <v>0</v>
      </c>
      <c r="P109" s="25"/>
      <c r="Q109" s="25"/>
      <c r="R109" s="25"/>
      <c r="S109" s="25"/>
      <c r="T109" s="25"/>
      <c r="U109" s="25"/>
    </row>
    <row r="110" spans="1:21" x14ac:dyDescent="0.25">
      <c r="A110" s="25" t="str">
        <f t="shared" si="1"/>
        <v/>
      </c>
      <c r="B110" s="192"/>
      <c r="C110" s="205"/>
      <c r="D110" s="25"/>
      <c r="E110" s="25"/>
      <c r="F110" s="25"/>
      <c r="G110" s="25"/>
      <c r="H110" s="25"/>
      <c r="I110" s="25"/>
      <c r="J110" s="25"/>
      <c r="K110" s="25"/>
      <c r="L110" s="25"/>
      <c r="M110" s="25">
        <f>Tbl_2026[[#This Row],[Gross Wt.]]-(Tbl_2026[[#This Row],[Pskal]]+Tbl_2026[[#This Row],[Pack Wt.]])</f>
        <v>0</v>
      </c>
      <c r="N110" s="98"/>
      <c r="O110" s="25">
        <f>Tbl_2026[[#This Row],[Wt. Befor ratio]]*Tbl_2026[[#This Row],[Ratio]]</f>
        <v>0</v>
      </c>
      <c r="P110" s="25"/>
      <c r="Q110" s="25"/>
      <c r="R110" s="25"/>
      <c r="S110" s="25"/>
      <c r="T110" s="25"/>
      <c r="U110" s="25"/>
    </row>
    <row r="111" spans="1:21" x14ac:dyDescent="0.25">
      <c r="A111" s="25" t="str">
        <f t="shared" si="1"/>
        <v/>
      </c>
      <c r="B111" s="192"/>
      <c r="C111" s="205"/>
      <c r="D111" s="25"/>
      <c r="E111" s="25"/>
      <c r="F111" s="25"/>
      <c r="G111" s="25"/>
      <c r="H111" s="25"/>
      <c r="I111" s="25"/>
      <c r="J111" s="25"/>
      <c r="K111" s="25"/>
      <c r="L111" s="25"/>
      <c r="M111" s="25">
        <f>Tbl_2026[[#This Row],[Gross Wt.]]-(Tbl_2026[[#This Row],[Pskal]]+Tbl_2026[[#This Row],[Pack Wt.]])</f>
        <v>0</v>
      </c>
      <c r="N111" s="98"/>
      <c r="O111" s="25">
        <f>Tbl_2026[[#This Row],[Wt. Befor ratio]]*Tbl_2026[[#This Row],[Ratio]]</f>
        <v>0</v>
      </c>
      <c r="P111" s="25"/>
      <c r="Q111" s="25"/>
      <c r="R111" s="25"/>
      <c r="S111" s="25"/>
      <c r="T111" s="25"/>
      <c r="U111" s="25"/>
    </row>
    <row r="112" spans="1:21" x14ac:dyDescent="0.25">
      <c r="A112" s="25" t="str">
        <f t="shared" si="1"/>
        <v/>
      </c>
      <c r="B112" s="192"/>
      <c r="C112" s="205"/>
      <c r="D112" s="25"/>
      <c r="E112" s="25"/>
      <c r="F112" s="25"/>
      <c r="G112" s="25"/>
      <c r="H112" s="25"/>
      <c r="I112" s="25"/>
      <c r="J112" s="25"/>
      <c r="K112" s="25"/>
      <c r="L112" s="25"/>
      <c r="M112" s="25">
        <f>Tbl_2026[[#This Row],[Gross Wt.]]-(Tbl_2026[[#This Row],[Pskal]]+Tbl_2026[[#This Row],[Pack Wt.]])</f>
        <v>0</v>
      </c>
      <c r="N112" s="98"/>
      <c r="O112" s="25">
        <f>Tbl_2026[[#This Row],[Wt. Befor ratio]]*Tbl_2026[[#This Row],[Ratio]]</f>
        <v>0</v>
      </c>
      <c r="P112" s="25"/>
      <c r="Q112" s="25"/>
      <c r="R112" s="25"/>
      <c r="S112" s="25"/>
      <c r="T112" s="25"/>
      <c r="U112" s="25"/>
    </row>
    <row r="113" spans="1:21" x14ac:dyDescent="0.25">
      <c r="A113" s="25" t="str">
        <f t="shared" si="1"/>
        <v/>
      </c>
      <c r="B113" s="192"/>
      <c r="C113" s="205"/>
      <c r="D113" s="25"/>
      <c r="E113" s="25"/>
      <c r="F113" s="25"/>
      <c r="G113" s="25"/>
      <c r="H113" s="25"/>
      <c r="I113" s="25"/>
      <c r="J113" s="25"/>
      <c r="K113" s="25"/>
      <c r="L113" s="25"/>
      <c r="M113" s="25">
        <f>Tbl_2026[[#This Row],[Gross Wt.]]-(Tbl_2026[[#This Row],[Pskal]]+Tbl_2026[[#This Row],[Pack Wt.]])</f>
        <v>0</v>
      </c>
      <c r="N113" s="98"/>
      <c r="O113" s="25">
        <f>Tbl_2026[[#This Row],[Wt. Befor ratio]]*Tbl_2026[[#This Row],[Ratio]]</f>
        <v>0</v>
      </c>
      <c r="P113" s="25"/>
      <c r="Q113" s="25"/>
      <c r="R113" s="25"/>
      <c r="S113" s="25"/>
      <c r="T113" s="25"/>
      <c r="U113" s="25"/>
    </row>
    <row r="114" spans="1:21" x14ac:dyDescent="0.25">
      <c r="A114" s="25" t="str">
        <f t="shared" si="1"/>
        <v/>
      </c>
      <c r="B114" s="192"/>
      <c r="C114" s="205"/>
      <c r="D114" s="25"/>
      <c r="E114" s="25"/>
      <c r="F114" s="25"/>
      <c r="G114" s="25"/>
      <c r="H114" s="25"/>
      <c r="I114" s="25"/>
      <c r="J114" s="25"/>
      <c r="K114" s="25"/>
      <c r="L114" s="25"/>
      <c r="M114" s="25">
        <f>Tbl_2026[[#This Row],[Gross Wt.]]-(Tbl_2026[[#This Row],[Pskal]]+Tbl_2026[[#This Row],[Pack Wt.]])</f>
        <v>0</v>
      </c>
      <c r="N114" s="98"/>
      <c r="O114" s="25">
        <f>Tbl_2026[[#This Row],[Wt. Befor ratio]]*Tbl_2026[[#This Row],[Ratio]]</f>
        <v>0</v>
      </c>
      <c r="P114" s="25"/>
      <c r="Q114" s="25"/>
      <c r="R114" s="25"/>
      <c r="S114" s="25"/>
      <c r="T114" s="25"/>
      <c r="U114" s="25"/>
    </row>
    <row r="115" spans="1:21" x14ac:dyDescent="0.25">
      <c r="A115" s="25" t="str">
        <f t="shared" si="1"/>
        <v/>
      </c>
      <c r="B115" s="192"/>
      <c r="C115" s="205"/>
      <c r="D115" s="25"/>
      <c r="E115" s="25"/>
      <c r="F115" s="25"/>
      <c r="G115" s="25"/>
      <c r="H115" s="25"/>
      <c r="I115" s="25"/>
      <c r="J115" s="25"/>
      <c r="K115" s="25"/>
      <c r="L115" s="25"/>
      <c r="M115" s="25">
        <f>Tbl_2026[[#This Row],[Gross Wt.]]-(Tbl_2026[[#This Row],[Pskal]]+Tbl_2026[[#This Row],[Pack Wt.]])</f>
        <v>0</v>
      </c>
      <c r="N115" s="98"/>
      <c r="O115" s="25">
        <f>Tbl_2026[[#This Row],[Wt. Befor ratio]]*Tbl_2026[[#This Row],[Ratio]]</f>
        <v>0</v>
      </c>
      <c r="P115" s="25"/>
      <c r="Q115" s="25"/>
      <c r="R115" s="25"/>
      <c r="S115" s="25"/>
      <c r="T115" s="25"/>
      <c r="U115" s="25"/>
    </row>
    <row r="116" spans="1:21" x14ac:dyDescent="0.25">
      <c r="A116" s="25" t="str">
        <f t="shared" si="1"/>
        <v/>
      </c>
      <c r="B116" s="192"/>
      <c r="C116" s="205"/>
      <c r="D116" s="25"/>
      <c r="E116" s="25"/>
      <c r="F116" s="25"/>
      <c r="G116" s="25"/>
      <c r="H116" s="25"/>
      <c r="I116" s="25"/>
      <c r="J116" s="25"/>
      <c r="K116" s="25"/>
      <c r="L116" s="25"/>
      <c r="M116" s="25">
        <f>Tbl_2026[[#This Row],[Gross Wt.]]-(Tbl_2026[[#This Row],[Pskal]]+Tbl_2026[[#This Row],[Pack Wt.]])</f>
        <v>0</v>
      </c>
      <c r="N116" s="98"/>
      <c r="O116" s="25">
        <f>Tbl_2026[[#This Row],[Wt. Befor ratio]]*Tbl_2026[[#This Row],[Ratio]]</f>
        <v>0</v>
      </c>
      <c r="P116" s="25"/>
      <c r="Q116" s="25"/>
      <c r="R116" s="25"/>
      <c r="S116" s="25"/>
      <c r="T116" s="25"/>
      <c r="U116" s="25"/>
    </row>
    <row r="117" spans="1:21" x14ac:dyDescent="0.25">
      <c r="A117" s="25" t="str">
        <f t="shared" si="1"/>
        <v/>
      </c>
      <c r="B117" s="192"/>
      <c r="C117" s="205"/>
      <c r="D117" s="25"/>
      <c r="E117" s="25"/>
      <c r="F117" s="25"/>
      <c r="G117" s="25"/>
      <c r="H117" s="25"/>
      <c r="I117" s="25"/>
      <c r="J117" s="25"/>
      <c r="K117" s="25"/>
      <c r="L117" s="25"/>
      <c r="M117" s="25">
        <f>Tbl_2026[[#This Row],[Gross Wt.]]-(Tbl_2026[[#This Row],[Pskal]]+Tbl_2026[[#This Row],[Pack Wt.]])</f>
        <v>0</v>
      </c>
      <c r="N117" s="98"/>
      <c r="O117" s="25">
        <f>Tbl_2026[[#This Row],[Wt. Befor ratio]]*Tbl_2026[[#This Row],[Ratio]]</f>
        <v>0</v>
      </c>
      <c r="P117" s="25"/>
      <c r="Q117" s="25"/>
      <c r="R117" s="25"/>
      <c r="S117" s="25"/>
      <c r="T117" s="25"/>
      <c r="U117" s="25"/>
    </row>
    <row r="118" spans="1:21" x14ac:dyDescent="0.25">
      <c r="A118" s="25" t="str">
        <f t="shared" si="1"/>
        <v/>
      </c>
      <c r="B118" s="192"/>
      <c r="C118" s="205"/>
      <c r="D118" s="25"/>
      <c r="E118" s="25"/>
      <c r="F118" s="25"/>
      <c r="G118" s="25"/>
      <c r="H118" s="25"/>
      <c r="I118" s="25"/>
      <c r="J118" s="25"/>
      <c r="K118" s="25"/>
      <c r="L118" s="25"/>
      <c r="M118" s="25">
        <f>Tbl_2026[[#This Row],[Gross Wt.]]-(Tbl_2026[[#This Row],[Pskal]]+Tbl_2026[[#This Row],[Pack Wt.]])</f>
        <v>0</v>
      </c>
      <c r="N118" s="98"/>
      <c r="O118" s="25">
        <f>Tbl_2026[[#This Row],[Wt. Befor ratio]]*Tbl_2026[[#This Row],[Ratio]]</f>
        <v>0</v>
      </c>
      <c r="P118" s="25"/>
      <c r="Q118" s="25"/>
      <c r="R118" s="25"/>
      <c r="S118" s="25"/>
      <c r="T118" s="25"/>
      <c r="U118" s="25"/>
    </row>
    <row r="119" spans="1:21" x14ac:dyDescent="0.25">
      <c r="A119" s="25" t="str">
        <f t="shared" si="1"/>
        <v/>
      </c>
      <c r="B119" s="192"/>
      <c r="C119" s="205"/>
      <c r="D119" s="25"/>
      <c r="E119" s="25"/>
      <c r="F119" s="25"/>
      <c r="G119" s="25"/>
      <c r="H119" s="25"/>
      <c r="I119" s="25"/>
      <c r="J119" s="25"/>
      <c r="K119" s="25"/>
      <c r="L119" s="25"/>
      <c r="M119" s="25">
        <f>Tbl_2026[[#This Row],[Gross Wt.]]-(Tbl_2026[[#This Row],[Pskal]]+Tbl_2026[[#This Row],[Pack Wt.]])</f>
        <v>0</v>
      </c>
      <c r="N119" s="98"/>
      <c r="O119" s="25">
        <f>Tbl_2026[[#This Row],[Wt. Befor ratio]]*Tbl_2026[[#This Row],[Ratio]]</f>
        <v>0</v>
      </c>
      <c r="P119" s="25"/>
      <c r="Q119" s="25"/>
      <c r="R119" s="25"/>
      <c r="S119" s="25"/>
      <c r="T119" s="25"/>
      <c r="U119" s="25"/>
    </row>
    <row r="120" spans="1:21" x14ac:dyDescent="0.25">
      <c r="A120" s="25" t="str">
        <f t="shared" si="1"/>
        <v/>
      </c>
      <c r="B120" s="192"/>
      <c r="C120" s="205"/>
      <c r="D120" s="25"/>
      <c r="E120" s="25"/>
      <c r="F120" s="25"/>
      <c r="G120" s="25"/>
      <c r="H120" s="25"/>
      <c r="I120" s="25"/>
      <c r="J120" s="25"/>
      <c r="K120" s="25"/>
      <c r="L120" s="25"/>
      <c r="M120" s="25">
        <f>Tbl_2026[[#This Row],[Gross Wt.]]-(Tbl_2026[[#This Row],[Pskal]]+Tbl_2026[[#This Row],[Pack Wt.]])</f>
        <v>0</v>
      </c>
      <c r="N120" s="98"/>
      <c r="O120" s="25">
        <f>Tbl_2026[[#This Row],[Wt. Befor ratio]]*Tbl_2026[[#This Row],[Ratio]]</f>
        <v>0</v>
      </c>
      <c r="P120" s="25"/>
      <c r="Q120" s="25"/>
      <c r="R120" s="25"/>
      <c r="S120" s="25"/>
      <c r="T120" s="25"/>
      <c r="U120" s="25"/>
    </row>
    <row r="121" spans="1:21" x14ac:dyDescent="0.25">
      <c r="A121" s="25" t="str">
        <f t="shared" si="1"/>
        <v/>
      </c>
      <c r="B121" s="192"/>
      <c r="C121" s="205"/>
      <c r="D121" s="25"/>
      <c r="E121" s="25"/>
      <c r="F121" s="25"/>
      <c r="G121" s="25"/>
      <c r="H121" s="25"/>
      <c r="I121" s="25"/>
      <c r="J121" s="25"/>
      <c r="K121" s="25"/>
      <c r="L121" s="25"/>
      <c r="M121" s="25">
        <f>Tbl_2026[[#This Row],[Gross Wt.]]-(Tbl_2026[[#This Row],[Pskal]]+Tbl_2026[[#This Row],[Pack Wt.]])</f>
        <v>0</v>
      </c>
      <c r="N121" s="98"/>
      <c r="O121" s="25">
        <f>Tbl_2026[[#This Row],[Wt. Befor ratio]]*Tbl_2026[[#This Row],[Ratio]]</f>
        <v>0</v>
      </c>
      <c r="P121" s="25"/>
      <c r="Q121" s="25"/>
      <c r="R121" s="25"/>
      <c r="S121" s="25"/>
      <c r="T121" s="25"/>
      <c r="U121" s="25"/>
    </row>
    <row r="122" spans="1:21" x14ac:dyDescent="0.25">
      <c r="A122" s="25" t="str">
        <f t="shared" si="1"/>
        <v/>
      </c>
      <c r="B122" s="192"/>
      <c r="C122" s="205"/>
      <c r="D122" s="25"/>
      <c r="E122" s="25"/>
      <c r="F122" s="25"/>
      <c r="G122" s="25"/>
      <c r="H122" s="25"/>
      <c r="I122" s="25"/>
      <c r="J122" s="25"/>
      <c r="K122" s="25"/>
      <c r="L122" s="25"/>
      <c r="M122" s="25">
        <f>Tbl_2026[[#This Row],[Gross Wt.]]-(Tbl_2026[[#This Row],[Pskal]]+Tbl_2026[[#This Row],[Pack Wt.]])</f>
        <v>0</v>
      </c>
      <c r="N122" s="98"/>
      <c r="O122" s="25">
        <f>Tbl_2026[[#This Row],[Wt. Befor ratio]]*Tbl_2026[[#This Row],[Ratio]]</f>
        <v>0</v>
      </c>
      <c r="P122" s="25"/>
      <c r="Q122" s="25"/>
      <c r="R122" s="25"/>
      <c r="S122" s="25"/>
      <c r="T122" s="25"/>
      <c r="U122" s="25"/>
    </row>
    <row r="123" spans="1:21" x14ac:dyDescent="0.25">
      <c r="A123" s="25" t="str">
        <f t="shared" si="1"/>
        <v/>
      </c>
      <c r="B123" s="192"/>
      <c r="C123" s="205"/>
      <c r="D123" s="25"/>
      <c r="E123" s="25"/>
      <c r="F123" s="25"/>
      <c r="G123" s="25"/>
      <c r="H123" s="25"/>
      <c r="I123" s="25"/>
      <c r="J123" s="25"/>
      <c r="K123" s="25"/>
      <c r="L123" s="25"/>
      <c r="M123" s="25">
        <f>Tbl_2026[[#This Row],[Gross Wt.]]-(Tbl_2026[[#This Row],[Pskal]]+Tbl_2026[[#This Row],[Pack Wt.]])</f>
        <v>0</v>
      </c>
      <c r="N123" s="98"/>
      <c r="O123" s="25">
        <f>Tbl_2026[[#This Row],[Wt. Befor ratio]]*Tbl_2026[[#This Row],[Ratio]]</f>
        <v>0</v>
      </c>
      <c r="P123" s="25"/>
      <c r="Q123" s="25"/>
      <c r="R123" s="25"/>
      <c r="S123" s="25"/>
      <c r="T123" s="25"/>
      <c r="U123" s="25"/>
    </row>
    <row r="124" spans="1:21" x14ac:dyDescent="0.25">
      <c r="A124" s="25" t="str">
        <f t="shared" si="1"/>
        <v/>
      </c>
      <c r="B124" s="192"/>
      <c r="C124" s="205"/>
      <c r="D124" s="25"/>
      <c r="E124" s="25"/>
      <c r="F124" s="25"/>
      <c r="G124" s="25"/>
      <c r="H124" s="25"/>
      <c r="I124" s="25"/>
      <c r="J124" s="25"/>
      <c r="K124" s="25"/>
      <c r="L124" s="25"/>
      <c r="M124" s="25">
        <f>Tbl_2026[[#This Row],[Gross Wt.]]-(Tbl_2026[[#This Row],[Pskal]]+Tbl_2026[[#This Row],[Pack Wt.]])</f>
        <v>0</v>
      </c>
      <c r="N124" s="98"/>
      <c r="O124" s="25">
        <f>Tbl_2026[[#This Row],[Wt. Befor ratio]]*Tbl_2026[[#This Row],[Ratio]]</f>
        <v>0</v>
      </c>
      <c r="P124" s="25"/>
      <c r="Q124" s="25"/>
      <c r="R124" s="25"/>
      <c r="S124" s="25"/>
      <c r="T124" s="25"/>
      <c r="U124" s="25"/>
    </row>
    <row r="125" spans="1:21" x14ac:dyDescent="0.25">
      <c r="A125" s="25" t="str">
        <f t="shared" si="1"/>
        <v/>
      </c>
      <c r="B125" s="192"/>
      <c r="C125" s="205"/>
      <c r="D125" s="25"/>
      <c r="E125" s="25"/>
      <c r="F125" s="25"/>
      <c r="G125" s="25"/>
      <c r="H125" s="25"/>
      <c r="I125" s="25"/>
      <c r="J125" s="25"/>
      <c r="K125" s="25"/>
      <c r="L125" s="25"/>
      <c r="M125" s="25">
        <f>Tbl_2026[[#This Row],[Gross Wt.]]-(Tbl_2026[[#This Row],[Pskal]]+Tbl_2026[[#This Row],[Pack Wt.]])</f>
        <v>0</v>
      </c>
      <c r="N125" s="98"/>
      <c r="O125" s="25">
        <f>Tbl_2026[[#This Row],[Wt. Befor ratio]]*Tbl_2026[[#This Row],[Ratio]]</f>
        <v>0</v>
      </c>
      <c r="P125" s="25"/>
      <c r="Q125" s="25"/>
      <c r="R125" s="25"/>
      <c r="S125" s="25"/>
      <c r="T125" s="25"/>
      <c r="U125" s="25"/>
    </row>
    <row r="126" spans="1:21" x14ac:dyDescent="0.25">
      <c r="A126" s="25" t="str">
        <f t="shared" si="1"/>
        <v/>
      </c>
      <c r="B126" s="192"/>
      <c r="C126" s="205"/>
      <c r="D126" s="25"/>
      <c r="E126" s="25"/>
      <c r="F126" s="25"/>
      <c r="G126" s="25"/>
      <c r="H126" s="25"/>
      <c r="I126" s="25"/>
      <c r="J126" s="25"/>
      <c r="K126" s="25"/>
      <c r="L126" s="25"/>
      <c r="M126" s="25">
        <f>Tbl_2026[[#This Row],[Gross Wt.]]-(Tbl_2026[[#This Row],[Pskal]]+Tbl_2026[[#This Row],[Pack Wt.]])</f>
        <v>0</v>
      </c>
      <c r="N126" s="98"/>
      <c r="O126" s="25">
        <f>Tbl_2026[[#This Row],[Wt. Befor ratio]]*Tbl_2026[[#This Row],[Ratio]]</f>
        <v>0</v>
      </c>
      <c r="P126" s="25"/>
      <c r="Q126" s="25"/>
      <c r="R126" s="25"/>
      <c r="S126" s="25"/>
      <c r="T126" s="25"/>
      <c r="U126" s="25"/>
    </row>
    <row r="127" spans="1:21" x14ac:dyDescent="0.25">
      <c r="A127" s="25" t="str">
        <f t="shared" si="1"/>
        <v/>
      </c>
      <c r="B127" s="192"/>
      <c r="C127" s="205"/>
      <c r="D127" s="25"/>
      <c r="E127" s="25"/>
      <c r="F127" s="25"/>
      <c r="G127" s="25"/>
      <c r="H127" s="25"/>
      <c r="I127" s="25"/>
      <c r="J127" s="25"/>
      <c r="K127" s="25"/>
      <c r="L127" s="25"/>
      <c r="M127" s="25">
        <f>Tbl_2026[[#This Row],[Gross Wt.]]-(Tbl_2026[[#This Row],[Pskal]]+Tbl_2026[[#This Row],[Pack Wt.]])</f>
        <v>0</v>
      </c>
      <c r="N127" s="98"/>
      <c r="O127" s="25">
        <f>Tbl_2026[[#This Row],[Wt. Befor ratio]]*Tbl_2026[[#This Row],[Ratio]]</f>
        <v>0</v>
      </c>
      <c r="P127" s="25"/>
      <c r="Q127" s="25"/>
      <c r="R127" s="25"/>
      <c r="S127" s="25"/>
      <c r="T127" s="25"/>
      <c r="U127" s="25"/>
    </row>
    <row r="128" spans="1:21" x14ac:dyDescent="0.25">
      <c r="A128" s="25" t="str">
        <f t="shared" si="1"/>
        <v/>
      </c>
      <c r="B128" s="192"/>
      <c r="C128" s="205"/>
      <c r="D128" s="25"/>
      <c r="E128" s="25"/>
      <c r="F128" s="25"/>
      <c r="G128" s="25"/>
      <c r="H128" s="25"/>
      <c r="I128" s="25"/>
      <c r="J128" s="25"/>
      <c r="K128" s="25"/>
      <c r="L128" s="25"/>
      <c r="M128" s="25">
        <f>Tbl_2026[[#This Row],[Gross Wt.]]-(Tbl_2026[[#This Row],[Pskal]]+Tbl_2026[[#This Row],[Pack Wt.]])</f>
        <v>0</v>
      </c>
      <c r="N128" s="98"/>
      <c r="O128" s="25">
        <f>Tbl_2026[[#This Row],[Wt. Befor ratio]]*Tbl_2026[[#This Row],[Ratio]]</f>
        <v>0</v>
      </c>
      <c r="P128" s="25"/>
      <c r="Q128" s="25"/>
      <c r="R128" s="25"/>
      <c r="S128" s="25"/>
      <c r="T128" s="25"/>
      <c r="U128" s="25"/>
    </row>
    <row r="129" spans="1:21" x14ac:dyDescent="0.25">
      <c r="A129" s="25" t="str">
        <f t="shared" si="1"/>
        <v/>
      </c>
      <c r="B129" s="192"/>
      <c r="C129" s="205"/>
      <c r="D129" s="25"/>
      <c r="E129" s="25"/>
      <c r="F129" s="25"/>
      <c r="G129" s="25"/>
      <c r="H129" s="25"/>
      <c r="I129" s="25"/>
      <c r="J129" s="25"/>
      <c r="K129" s="25"/>
      <c r="L129" s="25"/>
      <c r="M129" s="25">
        <f>Tbl_2026[[#This Row],[Gross Wt.]]-(Tbl_2026[[#This Row],[Pskal]]+Tbl_2026[[#This Row],[Pack Wt.]])</f>
        <v>0</v>
      </c>
      <c r="N129" s="98"/>
      <c r="O129" s="25">
        <f>Tbl_2026[[#This Row],[Wt. Befor ratio]]*Tbl_2026[[#This Row],[Ratio]]</f>
        <v>0</v>
      </c>
      <c r="P129" s="25"/>
      <c r="Q129" s="25"/>
      <c r="R129" s="25"/>
      <c r="S129" s="25"/>
      <c r="T129" s="25"/>
      <c r="U129" s="25"/>
    </row>
    <row r="130" spans="1:21" x14ac:dyDescent="0.25">
      <c r="A130" s="25" t="str">
        <f t="shared" si="1"/>
        <v/>
      </c>
      <c r="B130" s="192"/>
      <c r="C130" s="205"/>
      <c r="D130" s="25"/>
      <c r="E130" s="25"/>
      <c r="F130" s="25"/>
      <c r="G130" s="25"/>
      <c r="H130" s="25"/>
      <c r="I130" s="25"/>
      <c r="J130" s="25"/>
      <c r="K130" s="25"/>
      <c r="L130" s="25"/>
      <c r="M130" s="25">
        <f>Tbl_2026[[#This Row],[Gross Wt.]]-(Tbl_2026[[#This Row],[Pskal]]+Tbl_2026[[#This Row],[Pack Wt.]])</f>
        <v>0</v>
      </c>
      <c r="N130" s="98"/>
      <c r="O130" s="25">
        <f>Tbl_2026[[#This Row],[Wt. Befor ratio]]*Tbl_2026[[#This Row],[Ratio]]</f>
        <v>0</v>
      </c>
      <c r="P130" s="25"/>
      <c r="Q130" s="25"/>
      <c r="R130" s="25"/>
      <c r="S130" s="25"/>
      <c r="T130" s="25"/>
      <c r="U130" s="25"/>
    </row>
    <row r="131" spans="1:21" x14ac:dyDescent="0.25">
      <c r="A131" s="25" t="str">
        <f t="shared" si="1"/>
        <v/>
      </c>
      <c r="B131" s="192"/>
      <c r="C131" s="205"/>
      <c r="D131" s="25"/>
      <c r="E131" s="25"/>
      <c r="F131" s="25"/>
      <c r="G131" s="25"/>
      <c r="H131" s="25"/>
      <c r="I131" s="25"/>
      <c r="J131" s="25"/>
      <c r="K131" s="25"/>
      <c r="L131" s="25"/>
      <c r="M131" s="25">
        <f>Tbl_2026[[#This Row],[Gross Wt.]]-(Tbl_2026[[#This Row],[Pskal]]+Tbl_2026[[#This Row],[Pack Wt.]])</f>
        <v>0</v>
      </c>
      <c r="N131" s="98"/>
      <c r="O131" s="25">
        <f>Tbl_2026[[#This Row],[Wt. Befor ratio]]*Tbl_2026[[#This Row],[Ratio]]</f>
        <v>0</v>
      </c>
      <c r="P131" s="25"/>
      <c r="Q131" s="25"/>
      <c r="R131" s="25"/>
      <c r="S131" s="25"/>
      <c r="T131" s="25"/>
      <c r="U131" s="25"/>
    </row>
    <row r="132" spans="1:21" x14ac:dyDescent="0.25">
      <c r="A132" s="25" t="str">
        <f t="shared" ref="A132:A195" si="2">IF(B132&gt;0,A131+1,"")</f>
        <v/>
      </c>
      <c r="B132" s="192"/>
      <c r="C132" s="205"/>
      <c r="D132" s="25"/>
      <c r="E132" s="25"/>
      <c r="F132" s="25"/>
      <c r="G132" s="25"/>
      <c r="H132" s="25"/>
      <c r="I132" s="25"/>
      <c r="J132" s="25"/>
      <c r="K132" s="25"/>
      <c r="L132" s="25"/>
      <c r="M132" s="25">
        <f>Tbl_2026[[#This Row],[Gross Wt.]]-(Tbl_2026[[#This Row],[Pskal]]+Tbl_2026[[#This Row],[Pack Wt.]])</f>
        <v>0</v>
      </c>
      <c r="N132" s="98"/>
      <c r="O132" s="25">
        <f>Tbl_2026[[#This Row],[Wt. Befor ratio]]*Tbl_2026[[#This Row],[Ratio]]</f>
        <v>0</v>
      </c>
      <c r="P132" s="25"/>
      <c r="Q132" s="25"/>
      <c r="R132" s="25"/>
      <c r="S132" s="25"/>
      <c r="T132" s="25"/>
      <c r="U132" s="25"/>
    </row>
    <row r="133" spans="1:21" x14ac:dyDescent="0.25">
      <c r="A133" s="25" t="str">
        <f t="shared" si="2"/>
        <v/>
      </c>
      <c r="B133" s="192"/>
      <c r="C133" s="205"/>
      <c r="D133" s="25"/>
      <c r="E133" s="25"/>
      <c r="F133" s="25"/>
      <c r="G133" s="25"/>
      <c r="H133" s="25"/>
      <c r="I133" s="25"/>
      <c r="J133" s="25"/>
      <c r="K133" s="25"/>
      <c r="L133" s="25"/>
      <c r="M133" s="25">
        <f>Tbl_2026[[#This Row],[Gross Wt.]]-(Tbl_2026[[#This Row],[Pskal]]+Tbl_2026[[#This Row],[Pack Wt.]])</f>
        <v>0</v>
      </c>
      <c r="N133" s="98"/>
      <c r="O133" s="25">
        <f>Tbl_2026[[#This Row],[Wt. Befor ratio]]*Tbl_2026[[#This Row],[Ratio]]</f>
        <v>0</v>
      </c>
      <c r="P133" s="25"/>
      <c r="Q133" s="25"/>
      <c r="R133" s="25"/>
      <c r="S133" s="25"/>
      <c r="T133" s="25"/>
      <c r="U133" s="25"/>
    </row>
    <row r="134" spans="1:21" x14ac:dyDescent="0.25">
      <c r="A134" s="25" t="str">
        <f t="shared" si="2"/>
        <v/>
      </c>
      <c r="B134" s="192"/>
      <c r="C134" s="205"/>
      <c r="D134" s="25"/>
      <c r="E134" s="25"/>
      <c r="F134" s="25"/>
      <c r="G134" s="25"/>
      <c r="H134" s="25"/>
      <c r="I134" s="25"/>
      <c r="J134" s="25"/>
      <c r="K134" s="25"/>
      <c r="L134" s="25"/>
      <c r="M134" s="25">
        <f>Tbl_2026[[#This Row],[Gross Wt.]]-(Tbl_2026[[#This Row],[Pskal]]+Tbl_2026[[#This Row],[Pack Wt.]])</f>
        <v>0</v>
      </c>
      <c r="N134" s="98"/>
      <c r="O134" s="25">
        <f>Tbl_2026[[#This Row],[Wt. Befor ratio]]*Tbl_2026[[#This Row],[Ratio]]</f>
        <v>0</v>
      </c>
      <c r="P134" s="25"/>
      <c r="Q134" s="25"/>
      <c r="R134" s="25"/>
      <c r="S134" s="25"/>
      <c r="T134" s="25"/>
      <c r="U134" s="25"/>
    </row>
    <row r="135" spans="1:21" x14ac:dyDescent="0.25">
      <c r="A135" s="25" t="str">
        <f t="shared" si="2"/>
        <v/>
      </c>
      <c r="B135" s="192"/>
      <c r="C135" s="205"/>
      <c r="D135" s="25"/>
      <c r="E135" s="25"/>
      <c r="F135" s="25"/>
      <c r="G135" s="25"/>
      <c r="H135" s="25"/>
      <c r="I135" s="25"/>
      <c r="J135" s="25"/>
      <c r="K135" s="25"/>
      <c r="L135" s="25"/>
      <c r="M135" s="25">
        <f>Tbl_2026[[#This Row],[Gross Wt.]]-(Tbl_2026[[#This Row],[Pskal]]+Tbl_2026[[#This Row],[Pack Wt.]])</f>
        <v>0</v>
      </c>
      <c r="N135" s="98"/>
      <c r="O135" s="25">
        <f>Tbl_2026[[#This Row],[Wt. Befor ratio]]*Tbl_2026[[#This Row],[Ratio]]</f>
        <v>0</v>
      </c>
      <c r="P135" s="25"/>
      <c r="Q135" s="25"/>
      <c r="R135" s="25"/>
      <c r="S135" s="25"/>
      <c r="T135" s="25"/>
      <c r="U135" s="25"/>
    </row>
    <row r="136" spans="1:21" x14ac:dyDescent="0.25">
      <c r="A136" s="25" t="str">
        <f t="shared" si="2"/>
        <v/>
      </c>
      <c r="B136" s="192"/>
      <c r="C136" s="205"/>
      <c r="D136" s="25"/>
      <c r="E136" s="25"/>
      <c r="F136" s="25"/>
      <c r="G136" s="25"/>
      <c r="H136" s="25"/>
      <c r="I136" s="25"/>
      <c r="J136" s="25"/>
      <c r="K136" s="25"/>
      <c r="L136" s="25"/>
      <c r="M136" s="25">
        <f>Tbl_2026[[#This Row],[Gross Wt.]]-(Tbl_2026[[#This Row],[Pskal]]+Tbl_2026[[#This Row],[Pack Wt.]])</f>
        <v>0</v>
      </c>
      <c r="N136" s="98"/>
      <c r="O136" s="25">
        <f>Tbl_2026[[#This Row],[Wt. Befor ratio]]*Tbl_2026[[#This Row],[Ratio]]</f>
        <v>0</v>
      </c>
      <c r="P136" s="25"/>
      <c r="Q136" s="25"/>
      <c r="R136" s="25"/>
      <c r="S136" s="25"/>
      <c r="T136" s="25"/>
      <c r="U136" s="25"/>
    </row>
    <row r="137" spans="1:21" x14ac:dyDescent="0.25">
      <c r="A137" s="25" t="str">
        <f t="shared" si="2"/>
        <v/>
      </c>
      <c r="B137" s="192"/>
      <c r="C137" s="205"/>
      <c r="D137" s="25"/>
      <c r="E137" s="25"/>
      <c r="F137" s="25"/>
      <c r="G137" s="25"/>
      <c r="H137" s="25"/>
      <c r="I137" s="25"/>
      <c r="J137" s="25"/>
      <c r="K137" s="25"/>
      <c r="L137" s="25"/>
      <c r="M137" s="25">
        <f>Tbl_2026[[#This Row],[Gross Wt.]]-(Tbl_2026[[#This Row],[Pskal]]+Tbl_2026[[#This Row],[Pack Wt.]])</f>
        <v>0</v>
      </c>
      <c r="N137" s="98"/>
      <c r="O137" s="25">
        <f>Tbl_2026[[#This Row],[Wt. Befor ratio]]*Tbl_2026[[#This Row],[Ratio]]</f>
        <v>0</v>
      </c>
      <c r="P137" s="25"/>
      <c r="Q137" s="25"/>
      <c r="R137" s="25"/>
      <c r="S137" s="25"/>
      <c r="T137" s="25"/>
      <c r="U137" s="25"/>
    </row>
    <row r="138" spans="1:21" x14ac:dyDescent="0.25">
      <c r="A138" s="25" t="str">
        <f t="shared" si="2"/>
        <v/>
      </c>
      <c r="B138" s="192"/>
      <c r="C138" s="205"/>
      <c r="D138" s="25"/>
      <c r="E138" s="25"/>
      <c r="F138" s="25"/>
      <c r="G138" s="25"/>
      <c r="H138" s="25"/>
      <c r="I138" s="25"/>
      <c r="J138" s="25"/>
      <c r="K138" s="25"/>
      <c r="L138" s="25"/>
      <c r="M138" s="25">
        <f>Tbl_2026[[#This Row],[Gross Wt.]]-(Tbl_2026[[#This Row],[Pskal]]+Tbl_2026[[#This Row],[Pack Wt.]])</f>
        <v>0</v>
      </c>
      <c r="N138" s="98"/>
      <c r="O138" s="25">
        <f>Tbl_2026[[#This Row],[Wt. Befor ratio]]*Tbl_2026[[#This Row],[Ratio]]</f>
        <v>0</v>
      </c>
      <c r="P138" s="25"/>
      <c r="Q138" s="25"/>
      <c r="R138" s="25"/>
      <c r="S138" s="25"/>
      <c r="T138" s="25"/>
      <c r="U138" s="25"/>
    </row>
    <row r="139" spans="1:21" x14ac:dyDescent="0.25">
      <c r="A139" s="25" t="str">
        <f t="shared" si="2"/>
        <v/>
      </c>
      <c r="B139" s="192"/>
      <c r="C139" s="205"/>
      <c r="D139" s="25"/>
      <c r="E139" s="25"/>
      <c r="F139" s="25"/>
      <c r="G139" s="25"/>
      <c r="H139" s="25"/>
      <c r="I139" s="25"/>
      <c r="J139" s="25"/>
      <c r="K139" s="25"/>
      <c r="L139" s="25"/>
      <c r="M139" s="25">
        <f>Tbl_2026[[#This Row],[Gross Wt.]]-(Tbl_2026[[#This Row],[Pskal]]+Tbl_2026[[#This Row],[Pack Wt.]])</f>
        <v>0</v>
      </c>
      <c r="N139" s="98"/>
      <c r="O139" s="25">
        <f>Tbl_2026[[#This Row],[Wt. Befor ratio]]*Tbl_2026[[#This Row],[Ratio]]</f>
        <v>0</v>
      </c>
      <c r="P139" s="25"/>
      <c r="Q139" s="25"/>
      <c r="R139" s="25"/>
      <c r="S139" s="25"/>
      <c r="T139" s="25"/>
      <c r="U139" s="25"/>
    </row>
    <row r="140" spans="1:21" x14ac:dyDescent="0.25">
      <c r="A140" s="25" t="str">
        <f t="shared" si="2"/>
        <v/>
      </c>
      <c r="B140" s="192"/>
      <c r="C140" s="205"/>
      <c r="D140" s="25"/>
      <c r="E140" s="25"/>
      <c r="F140" s="25"/>
      <c r="G140" s="25"/>
      <c r="H140" s="25"/>
      <c r="I140" s="25"/>
      <c r="J140" s="25"/>
      <c r="K140" s="25"/>
      <c r="L140" s="25"/>
      <c r="M140" s="25">
        <f>Tbl_2026[[#This Row],[Gross Wt.]]-(Tbl_2026[[#This Row],[Pskal]]+Tbl_2026[[#This Row],[Pack Wt.]])</f>
        <v>0</v>
      </c>
      <c r="N140" s="98"/>
      <c r="O140" s="25">
        <f>Tbl_2026[[#This Row],[Wt. Befor ratio]]*Tbl_2026[[#This Row],[Ratio]]</f>
        <v>0</v>
      </c>
      <c r="P140" s="25"/>
      <c r="Q140" s="25"/>
      <c r="R140" s="25"/>
      <c r="S140" s="25"/>
      <c r="T140" s="25"/>
      <c r="U140" s="25"/>
    </row>
    <row r="141" spans="1:21" x14ac:dyDescent="0.25">
      <c r="A141" s="25" t="str">
        <f t="shared" si="2"/>
        <v/>
      </c>
      <c r="B141" s="192"/>
      <c r="C141" s="205"/>
      <c r="D141" s="25"/>
      <c r="E141" s="25"/>
      <c r="F141" s="25"/>
      <c r="G141" s="25"/>
      <c r="H141" s="25"/>
      <c r="I141" s="25"/>
      <c r="J141" s="25"/>
      <c r="K141" s="25"/>
      <c r="L141" s="25"/>
      <c r="M141" s="25">
        <f>Tbl_2026[[#This Row],[Gross Wt.]]-(Tbl_2026[[#This Row],[Pskal]]+Tbl_2026[[#This Row],[Pack Wt.]])</f>
        <v>0</v>
      </c>
      <c r="N141" s="98"/>
      <c r="O141" s="25">
        <f>Tbl_2026[[#This Row],[Wt. Befor ratio]]*Tbl_2026[[#This Row],[Ratio]]</f>
        <v>0</v>
      </c>
      <c r="P141" s="25"/>
      <c r="Q141" s="25"/>
      <c r="R141" s="25"/>
      <c r="S141" s="25"/>
      <c r="T141" s="25"/>
      <c r="U141" s="25"/>
    </row>
    <row r="142" spans="1:21" x14ac:dyDescent="0.25">
      <c r="A142" s="25" t="str">
        <f t="shared" si="2"/>
        <v/>
      </c>
      <c r="B142" s="192"/>
      <c r="C142" s="205"/>
      <c r="D142" s="25"/>
      <c r="E142" s="25"/>
      <c r="F142" s="25"/>
      <c r="G142" s="25"/>
      <c r="H142" s="25"/>
      <c r="I142" s="25"/>
      <c r="J142" s="25"/>
      <c r="K142" s="25"/>
      <c r="L142" s="25"/>
      <c r="M142" s="25">
        <f>Tbl_2026[[#This Row],[Gross Wt.]]-(Tbl_2026[[#This Row],[Pskal]]+Tbl_2026[[#This Row],[Pack Wt.]])</f>
        <v>0</v>
      </c>
      <c r="N142" s="98"/>
      <c r="O142" s="25">
        <f>Tbl_2026[[#This Row],[Wt. Befor ratio]]*Tbl_2026[[#This Row],[Ratio]]</f>
        <v>0</v>
      </c>
      <c r="P142" s="25"/>
      <c r="Q142" s="25"/>
      <c r="R142" s="25"/>
      <c r="S142" s="25"/>
      <c r="T142" s="25"/>
      <c r="U142" s="25"/>
    </row>
    <row r="143" spans="1:21" x14ac:dyDescent="0.25">
      <c r="A143" s="25" t="str">
        <f t="shared" si="2"/>
        <v/>
      </c>
      <c r="B143" s="192"/>
      <c r="C143" s="205"/>
      <c r="D143" s="25"/>
      <c r="E143" s="25"/>
      <c r="F143" s="25"/>
      <c r="G143" s="25"/>
      <c r="H143" s="25"/>
      <c r="I143" s="25"/>
      <c r="J143" s="25"/>
      <c r="K143" s="25"/>
      <c r="L143" s="25"/>
      <c r="M143" s="25">
        <f>Tbl_2026[[#This Row],[Gross Wt.]]-(Tbl_2026[[#This Row],[Pskal]]+Tbl_2026[[#This Row],[Pack Wt.]])</f>
        <v>0</v>
      </c>
      <c r="N143" s="98"/>
      <c r="O143" s="25">
        <f>Tbl_2026[[#This Row],[Wt. Befor ratio]]*Tbl_2026[[#This Row],[Ratio]]</f>
        <v>0</v>
      </c>
      <c r="P143" s="25"/>
      <c r="Q143" s="25"/>
      <c r="R143" s="25"/>
      <c r="S143" s="25"/>
      <c r="T143" s="25"/>
      <c r="U143" s="25"/>
    </row>
    <row r="144" spans="1:21" x14ac:dyDescent="0.25">
      <c r="A144" s="25" t="str">
        <f t="shared" si="2"/>
        <v/>
      </c>
      <c r="B144" s="192"/>
      <c r="C144" s="205"/>
      <c r="D144" s="25"/>
      <c r="E144" s="25"/>
      <c r="F144" s="25"/>
      <c r="G144" s="25"/>
      <c r="H144" s="25"/>
      <c r="I144" s="25"/>
      <c r="J144" s="25"/>
      <c r="K144" s="25"/>
      <c r="L144" s="25"/>
      <c r="M144" s="25">
        <f>Tbl_2026[[#This Row],[Gross Wt.]]-(Tbl_2026[[#This Row],[Pskal]]+Tbl_2026[[#This Row],[Pack Wt.]])</f>
        <v>0</v>
      </c>
      <c r="N144" s="98"/>
      <c r="O144" s="25">
        <f>Tbl_2026[[#This Row],[Wt. Befor ratio]]*Tbl_2026[[#This Row],[Ratio]]</f>
        <v>0</v>
      </c>
      <c r="P144" s="25"/>
      <c r="Q144" s="25"/>
      <c r="R144" s="25"/>
      <c r="S144" s="25"/>
      <c r="T144" s="25"/>
      <c r="U144" s="25"/>
    </row>
    <row r="145" spans="1:21" x14ac:dyDescent="0.25">
      <c r="A145" s="25" t="str">
        <f t="shared" si="2"/>
        <v/>
      </c>
      <c r="B145" s="192"/>
      <c r="C145" s="205"/>
      <c r="D145" s="25"/>
      <c r="E145" s="25"/>
      <c r="F145" s="25"/>
      <c r="G145" s="25"/>
      <c r="H145" s="25"/>
      <c r="I145" s="25"/>
      <c r="J145" s="25"/>
      <c r="K145" s="25"/>
      <c r="L145" s="25"/>
      <c r="M145" s="25">
        <f>Tbl_2026[[#This Row],[Gross Wt.]]-(Tbl_2026[[#This Row],[Pskal]]+Tbl_2026[[#This Row],[Pack Wt.]])</f>
        <v>0</v>
      </c>
      <c r="N145" s="98"/>
      <c r="O145" s="25">
        <f>Tbl_2026[[#This Row],[Wt. Befor ratio]]*Tbl_2026[[#This Row],[Ratio]]</f>
        <v>0</v>
      </c>
      <c r="P145" s="25"/>
      <c r="Q145" s="25"/>
      <c r="R145" s="25"/>
      <c r="S145" s="25"/>
      <c r="T145" s="25"/>
      <c r="U145" s="25"/>
    </row>
    <row r="146" spans="1:21" x14ac:dyDescent="0.25">
      <c r="A146" s="25" t="str">
        <f t="shared" si="2"/>
        <v/>
      </c>
      <c r="B146" s="192"/>
      <c r="C146" s="205"/>
      <c r="D146" s="25"/>
      <c r="E146" s="25"/>
      <c r="F146" s="25"/>
      <c r="G146" s="25"/>
      <c r="H146" s="25"/>
      <c r="I146" s="25"/>
      <c r="J146" s="25"/>
      <c r="K146" s="25"/>
      <c r="L146" s="25"/>
      <c r="M146" s="25">
        <f>Tbl_2026[[#This Row],[Gross Wt.]]-(Tbl_2026[[#This Row],[Pskal]]+Tbl_2026[[#This Row],[Pack Wt.]])</f>
        <v>0</v>
      </c>
      <c r="N146" s="98"/>
      <c r="O146" s="25">
        <f>Tbl_2026[[#This Row],[Wt. Befor ratio]]*Tbl_2026[[#This Row],[Ratio]]</f>
        <v>0</v>
      </c>
      <c r="P146" s="25"/>
      <c r="Q146" s="25"/>
      <c r="R146" s="25"/>
      <c r="S146" s="25"/>
      <c r="T146" s="25"/>
      <c r="U146" s="25"/>
    </row>
    <row r="147" spans="1:21" x14ac:dyDescent="0.25">
      <c r="A147" s="25" t="str">
        <f t="shared" si="2"/>
        <v/>
      </c>
      <c r="B147" s="192"/>
      <c r="C147" s="205"/>
      <c r="D147" s="25"/>
      <c r="E147" s="25"/>
      <c r="F147" s="25"/>
      <c r="G147" s="25"/>
      <c r="H147" s="25"/>
      <c r="I147" s="25"/>
      <c r="J147" s="25"/>
      <c r="K147" s="25"/>
      <c r="L147" s="25"/>
      <c r="M147" s="25">
        <f>Tbl_2026[[#This Row],[Gross Wt.]]-(Tbl_2026[[#This Row],[Pskal]]+Tbl_2026[[#This Row],[Pack Wt.]])</f>
        <v>0</v>
      </c>
      <c r="N147" s="98"/>
      <c r="O147" s="25">
        <f>Tbl_2026[[#This Row],[Wt. Befor ratio]]*Tbl_2026[[#This Row],[Ratio]]</f>
        <v>0</v>
      </c>
      <c r="P147" s="25"/>
      <c r="Q147" s="25"/>
      <c r="R147" s="25"/>
      <c r="S147" s="25"/>
      <c r="T147" s="25"/>
      <c r="U147" s="25"/>
    </row>
    <row r="148" spans="1:21" x14ac:dyDescent="0.25">
      <c r="A148" s="25" t="str">
        <f t="shared" si="2"/>
        <v/>
      </c>
      <c r="B148" s="192"/>
      <c r="C148" s="205"/>
      <c r="D148" s="25"/>
      <c r="E148" s="25"/>
      <c r="F148" s="25"/>
      <c r="G148" s="25"/>
      <c r="H148" s="25"/>
      <c r="I148" s="25"/>
      <c r="J148" s="25"/>
      <c r="K148" s="25"/>
      <c r="L148" s="25"/>
      <c r="M148" s="25">
        <f>Tbl_2026[[#This Row],[Gross Wt.]]-(Tbl_2026[[#This Row],[Pskal]]+Tbl_2026[[#This Row],[Pack Wt.]])</f>
        <v>0</v>
      </c>
      <c r="N148" s="98"/>
      <c r="O148" s="25">
        <f>Tbl_2026[[#This Row],[Wt. Befor ratio]]*Tbl_2026[[#This Row],[Ratio]]</f>
        <v>0</v>
      </c>
      <c r="P148" s="25"/>
      <c r="Q148" s="25"/>
      <c r="R148" s="25"/>
      <c r="S148" s="25"/>
      <c r="T148" s="25"/>
      <c r="U148" s="25"/>
    </row>
    <row r="149" spans="1:21" x14ac:dyDescent="0.25">
      <c r="A149" s="25" t="str">
        <f t="shared" si="2"/>
        <v/>
      </c>
      <c r="B149" s="192"/>
      <c r="C149" s="205"/>
      <c r="D149" s="25"/>
      <c r="E149" s="25"/>
      <c r="F149" s="25"/>
      <c r="G149" s="25"/>
      <c r="H149" s="25"/>
      <c r="I149" s="25"/>
      <c r="J149" s="25"/>
      <c r="K149" s="25"/>
      <c r="L149" s="25"/>
      <c r="M149" s="25">
        <f>Tbl_2026[[#This Row],[Gross Wt.]]-(Tbl_2026[[#This Row],[Pskal]]+Tbl_2026[[#This Row],[Pack Wt.]])</f>
        <v>0</v>
      </c>
      <c r="N149" s="98"/>
      <c r="O149" s="25">
        <f>Tbl_2026[[#This Row],[Wt. Befor ratio]]*Tbl_2026[[#This Row],[Ratio]]</f>
        <v>0</v>
      </c>
      <c r="P149" s="25"/>
      <c r="Q149" s="25"/>
      <c r="R149" s="25"/>
      <c r="S149" s="25"/>
      <c r="T149" s="25"/>
      <c r="U149" s="25"/>
    </row>
    <row r="150" spans="1:21" x14ac:dyDescent="0.25">
      <c r="A150" s="25" t="str">
        <f t="shared" si="2"/>
        <v/>
      </c>
      <c r="B150" s="192"/>
      <c r="C150" s="205"/>
      <c r="D150" s="25"/>
      <c r="E150" s="25"/>
      <c r="F150" s="25"/>
      <c r="G150" s="25"/>
      <c r="H150" s="25"/>
      <c r="I150" s="25"/>
      <c r="J150" s="25"/>
      <c r="K150" s="25"/>
      <c r="L150" s="25"/>
      <c r="M150" s="25">
        <f>Tbl_2026[[#This Row],[Gross Wt.]]-(Tbl_2026[[#This Row],[Pskal]]+Tbl_2026[[#This Row],[Pack Wt.]])</f>
        <v>0</v>
      </c>
      <c r="N150" s="98"/>
      <c r="O150" s="25">
        <f>Tbl_2026[[#This Row],[Wt. Befor ratio]]*Tbl_2026[[#This Row],[Ratio]]</f>
        <v>0</v>
      </c>
      <c r="P150" s="25"/>
      <c r="Q150" s="25"/>
      <c r="R150" s="25"/>
      <c r="S150" s="25"/>
      <c r="T150" s="25"/>
      <c r="U150" s="25"/>
    </row>
    <row r="151" spans="1:21" x14ac:dyDescent="0.25">
      <c r="A151" s="25" t="str">
        <f t="shared" si="2"/>
        <v/>
      </c>
      <c r="B151" s="192"/>
      <c r="C151" s="205"/>
      <c r="D151" s="25"/>
      <c r="E151" s="25"/>
      <c r="F151" s="25"/>
      <c r="G151" s="25"/>
      <c r="H151" s="25"/>
      <c r="I151" s="25"/>
      <c r="J151" s="25"/>
      <c r="K151" s="25"/>
      <c r="L151" s="25"/>
      <c r="M151" s="25">
        <f>Tbl_2026[[#This Row],[Gross Wt.]]-(Tbl_2026[[#This Row],[Pskal]]+Tbl_2026[[#This Row],[Pack Wt.]])</f>
        <v>0</v>
      </c>
      <c r="N151" s="98"/>
      <c r="O151" s="25">
        <f>Tbl_2026[[#This Row],[Wt. Befor ratio]]*Tbl_2026[[#This Row],[Ratio]]</f>
        <v>0</v>
      </c>
      <c r="P151" s="25"/>
      <c r="Q151" s="25"/>
      <c r="R151" s="25"/>
      <c r="S151" s="25"/>
      <c r="T151" s="25"/>
      <c r="U151" s="25"/>
    </row>
    <row r="152" spans="1:21" x14ac:dyDescent="0.25">
      <c r="A152" s="25" t="str">
        <f t="shared" si="2"/>
        <v/>
      </c>
      <c r="B152" s="192"/>
      <c r="C152" s="205"/>
      <c r="D152" s="25"/>
      <c r="E152" s="25"/>
      <c r="F152" s="25"/>
      <c r="G152" s="25"/>
      <c r="H152" s="25"/>
      <c r="I152" s="25"/>
      <c r="J152" s="25"/>
      <c r="K152" s="25"/>
      <c r="L152" s="25"/>
      <c r="M152" s="25">
        <f>Tbl_2026[[#This Row],[Gross Wt.]]-(Tbl_2026[[#This Row],[Pskal]]+Tbl_2026[[#This Row],[Pack Wt.]])</f>
        <v>0</v>
      </c>
      <c r="N152" s="98"/>
      <c r="O152" s="25">
        <f>Tbl_2026[[#This Row],[Wt. Befor ratio]]*Tbl_2026[[#This Row],[Ratio]]</f>
        <v>0</v>
      </c>
      <c r="P152" s="25"/>
      <c r="Q152" s="25"/>
      <c r="R152" s="25"/>
      <c r="S152" s="25"/>
      <c r="T152" s="25"/>
      <c r="U152" s="25"/>
    </row>
    <row r="153" spans="1:21" x14ac:dyDescent="0.25">
      <c r="A153" s="25" t="str">
        <f t="shared" si="2"/>
        <v/>
      </c>
      <c r="B153" s="192"/>
      <c r="C153" s="205"/>
      <c r="D153" s="25"/>
      <c r="E153" s="25"/>
      <c r="F153" s="25"/>
      <c r="G153" s="25"/>
      <c r="H153" s="25"/>
      <c r="I153" s="25"/>
      <c r="J153" s="25"/>
      <c r="K153" s="25"/>
      <c r="L153" s="25"/>
      <c r="M153" s="25">
        <f>Tbl_2026[[#This Row],[Gross Wt.]]-(Tbl_2026[[#This Row],[Pskal]]+Tbl_2026[[#This Row],[Pack Wt.]])</f>
        <v>0</v>
      </c>
      <c r="N153" s="98"/>
      <c r="O153" s="25">
        <f>Tbl_2026[[#This Row],[Wt. Befor ratio]]*Tbl_2026[[#This Row],[Ratio]]</f>
        <v>0</v>
      </c>
      <c r="P153" s="25"/>
      <c r="Q153" s="25"/>
      <c r="R153" s="25"/>
      <c r="S153" s="25"/>
      <c r="T153" s="25"/>
      <c r="U153" s="25"/>
    </row>
    <row r="154" spans="1:21" x14ac:dyDescent="0.25">
      <c r="A154" s="25" t="str">
        <f t="shared" si="2"/>
        <v/>
      </c>
      <c r="B154" s="192"/>
      <c r="C154" s="205"/>
      <c r="D154" s="25"/>
      <c r="E154" s="25"/>
      <c r="F154" s="25"/>
      <c r="G154" s="25"/>
      <c r="H154" s="25"/>
      <c r="I154" s="25"/>
      <c r="J154" s="25"/>
      <c r="K154" s="25"/>
      <c r="L154" s="25"/>
      <c r="M154" s="25">
        <f>Tbl_2026[[#This Row],[Gross Wt.]]-(Tbl_2026[[#This Row],[Pskal]]+Tbl_2026[[#This Row],[Pack Wt.]])</f>
        <v>0</v>
      </c>
      <c r="N154" s="98"/>
      <c r="O154" s="25">
        <f>Tbl_2026[[#This Row],[Wt. Befor ratio]]*Tbl_2026[[#This Row],[Ratio]]</f>
        <v>0</v>
      </c>
      <c r="P154" s="25"/>
      <c r="Q154" s="25"/>
      <c r="R154" s="25"/>
      <c r="S154" s="25"/>
      <c r="T154" s="25"/>
      <c r="U154" s="25"/>
    </row>
    <row r="155" spans="1:21" x14ac:dyDescent="0.25">
      <c r="A155" s="25" t="str">
        <f t="shared" si="2"/>
        <v/>
      </c>
      <c r="B155" s="192"/>
      <c r="C155" s="205"/>
      <c r="D155" s="25"/>
      <c r="E155" s="25"/>
      <c r="F155" s="25"/>
      <c r="G155" s="25"/>
      <c r="H155" s="25"/>
      <c r="I155" s="25"/>
      <c r="J155" s="25"/>
      <c r="K155" s="25"/>
      <c r="L155" s="25"/>
      <c r="M155" s="25">
        <f>Tbl_2026[[#This Row],[Gross Wt.]]-(Tbl_2026[[#This Row],[Pskal]]+Tbl_2026[[#This Row],[Pack Wt.]])</f>
        <v>0</v>
      </c>
      <c r="N155" s="98"/>
      <c r="O155" s="25">
        <f>Tbl_2026[[#This Row],[Wt. Befor ratio]]*Tbl_2026[[#This Row],[Ratio]]</f>
        <v>0</v>
      </c>
      <c r="P155" s="25"/>
      <c r="Q155" s="25"/>
      <c r="R155" s="25"/>
      <c r="S155" s="25"/>
      <c r="T155" s="25"/>
      <c r="U155" s="25"/>
    </row>
    <row r="156" spans="1:21" x14ac:dyDescent="0.25">
      <c r="A156" s="25" t="str">
        <f t="shared" si="2"/>
        <v/>
      </c>
      <c r="B156" s="192"/>
      <c r="C156" s="205"/>
      <c r="D156" s="25"/>
      <c r="E156" s="25"/>
      <c r="F156" s="25"/>
      <c r="G156" s="25"/>
      <c r="H156" s="25"/>
      <c r="I156" s="25"/>
      <c r="J156" s="25"/>
      <c r="K156" s="25"/>
      <c r="L156" s="25"/>
      <c r="M156" s="25">
        <f>Tbl_2026[[#This Row],[Gross Wt.]]-(Tbl_2026[[#This Row],[Pskal]]+Tbl_2026[[#This Row],[Pack Wt.]])</f>
        <v>0</v>
      </c>
      <c r="N156" s="98"/>
      <c r="O156" s="25">
        <f>Tbl_2026[[#This Row],[Wt. Befor ratio]]*Tbl_2026[[#This Row],[Ratio]]</f>
        <v>0</v>
      </c>
      <c r="P156" s="25"/>
      <c r="Q156" s="25"/>
      <c r="R156" s="25"/>
      <c r="S156" s="25"/>
      <c r="T156" s="25"/>
      <c r="U156" s="25"/>
    </row>
    <row r="157" spans="1:21" x14ac:dyDescent="0.25">
      <c r="A157" s="25" t="str">
        <f t="shared" si="2"/>
        <v/>
      </c>
      <c r="B157" s="192"/>
      <c r="C157" s="205"/>
      <c r="D157" s="25"/>
      <c r="E157" s="25"/>
      <c r="F157" s="25"/>
      <c r="G157" s="25"/>
      <c r="H157" s="25"/>
      <c r="I157" s="25"/>
      <c r="J157" s="25"/>
      <c r="K157" s="25"/>
      <c r="L157" s="25"/>
      <c r="M157" s="25">
        <f>Tbl_2026[[#This Row],[Gross Wt.]]-(Tbl_2026[[#This Row],[Pskal]]+Tbl_2026[[#This Row],[Pack Wt.]])</f>
        <v>0</v>
      </c>
      <c r="N157" s="98"/>
      <c r="O157" s="25">
        <f>Tbl_2026[[#This Row],[Wt. Befor ratio]]*Tbl_2026[[#This Row],[Ratio]]</f>
        <v>0</v>
      </c>
      <c r="P157" s="25"/>
      <c r="Q157" s="25"/>
      <c r="R157" s="25"/>
      <c r="S157" s="25"/>
      <c r="T157" s="25"/>
      <c r="U157" s="25"/>
    </row>
    <row r="158" spans="1:21" x14ac:dyDescent="0.25">
      <c r="A158" s="25" t="str">
        <f t="shared" si="2"/>
        <v/>
      </c>
      <c r="B158" s="192"/>
      <c r="C158" s="205"/>
      <c r="D158" s="25"/>
      <c r="E158" s="25"/>
      <c r="F158" s="25"/>
      <c r="G158" s="25"/>
      <c r="H158" s="25"/>
      <c r="I158" s="25"/>
      <c r="J158" s="25"/>
      <c r="K158" s="25"/>
      <c r="L158" s="25"/>
      <c r="M158" s="25">
        <f>Tbl_2026[[#This Row],[Gross Wt.]]-(Tbl_2026[[#This Row],[Pskal]]+Tbl_2026[[#This Row],[Pack Wt.]])</f>
        <v>0</v>
      </c>
      <c r="N158" s="98"/>
      <c r="O158" s="25">
        <f>Tbl_2026[[#This Row],[Wt. Befor ratio]]*Tbl_2026[[#This Row],[Ratio]]</f>
        <v>0</v>
      </c>
      <c r="P158" s="25"/>
      <c r="Q158" s="25"/>
      <c r="R158" s="25"/>
      <c r="S158" s="25"/>
      <c r="T158" s="25"/>
      <c r="U158" s="25"/>
    </row>
    <row r="159" spans="1:21" x14ac:dyDescent="0.25">
      <c r="A159" s="25" t="str">
        <f t="shared" si="2"/>
        <v/>
      </c>
      <c r="B159" s="192"/>
      <c r="C159" s="205"/>
      <c r="D159" s="25"/>
      <c r="E159" s="25"/>
      <c r="F159" s="25"/>
      <c r="G159" s="25"/>
      <c r="H159" s="25"/>
      <c r="I159" s="25"/>
      <c r="J159" s="25"/>
      <c r="K159" s="25"/>
      <c r="L159" s="25"/>
      <c r="M159" s="25">
        <f>Tbl_2026[[#This Row],[Gross Wt.]]-(Tbl_2026[[#This Row],[Pskal]]+Tbl_2026[[#This Row],[Pack Wt.]])</f>
        <v>0</v>
      </c>
      <c r="N159" s="98"/>
      <c r="O159" s="25">
        <f>Tbl_2026[[#This Row],[Wt. Befor ratio]]*Tbl_2026[[#This Row],[Ratio]]</f>
        <v>0</v>
      </c>
      <c r="P159" s="25"/>
      <c r="Q159" s="25"/>
      <c r="R159" s="25"/>
      <c r="S159" s="25"/>
      <c r="T159" s="25"/>
      <c r="U159" s="25"/>
    </row>
    <row r="160" spans="1:21" x14ac:dyDescent="0.25">
      <c r="A160" s="25" t="str">
        <f t="shared" si="2"/>
        <v/>
      </c>
      <c r="B160" s="192"/>
      <c r="C160" s="205"/>
      <c r="D160" s="25"/>
      <c r="E160" s="25"/>
      <c r="F160" s="25"/>
      <c r="G160" s="25"/>
      <c r="H160" s="25"/>
      <c r="I160" s="25"/>
      <c r="J160" s="25"/>
      <c r="K160" s="25"/>
      <c r="L160" s="25"/>
      <c r="M160" s="25">
        <f>Tbl_2026[[#This Row],[Gross Wt.]]-(Tbl_2026[[#This Row],[Pskal]]+Tbl_2026[[#This Row],[Pack Wt.]])</f>
        <v>0</v>
      </c>
      <c r="N160" s="98"/>
      <c r="O160" s="25">
        <f>Tbl_2026[[#This Row],[Wt. Befor ratio]]*Tbl_2026[[#This Row],[Ratio]]</f>
        <v>0</v>
      </c>
      <c r="P160" s="25"/>
      <c r="Q160" s="25"/>
      <c r="R160" s="25"/>
      <c r="S160" s="25"/>
      <c r="T160" s="25"/>
      <c r="U160" s="25"/>
    </row>
    <row r="161" spans="1:21" x14ac:dyDescent="0.25">
      <c r="A161" s="25" t="str">
        <f t="shared" si="2"/>
        <v/>
      </c>
      <c r="B161" s="192"/>
      <c r="C161" s="205"/>
      <c r="D161" s="25"/>
      <c r="E161" s="25"/>
      <c r="F161" s="25"/>
      <c r="G161" s="25"/>
      <c r="H161" s="25"/>
      <c r="I161" s="25"/>
      <c r="J161" s="25"/>
      <c r="K161" s="25"/>
      <c r="L161" s="25"/>
      <c r="M161" s="25">
        <f>Tbl_2026[[#This Row],[Gross Wt.]]-(Tbl_2026[[#This Row],[Pskal]]+Tbl_2026[[#This Row],[Pack Wt.]])</f>
        <v>0</v>
      </c>
      <c r="N161" s="98"/>
      <c r="O161" s="25">
        <f>Tbl_2026[[#This Row],[Wt. Befor ratio]]*Tbl_2026[[#This Row],[Ratio]]</f>
        <v>0</v>
      </c>
      <c r="P161" s="25"/>
      <c r="Q161" s="25"/>
      <c r="R161" s="25"/>
      <c r="S161" s="25"/>
      <c r="T161" s="25"/>
      <c r="U161" s="25"/>
    </row>
    <row r="162" spans="1:21" x14ac:dyDescent="0.25">
      <c r="A162" s="25" t="str">
        <f t="shared" si="2"/>
        <v/>
      </c>
      <c r="B162" s="192"/>
      <c r="C162" s="205"/>
      <c r="D162" s="25"/>
      <c r="E162" s="25"/>
      <c r="F162" s="25"/>
      <c r="G162" s="25"/>
      <c r="H162" s="25"/>
      <c r="I162" s="25"/>
      <c r="J162" s="25"/>
      <c r="K162" s="25"/>
      <c r="L162" s="25"/>
      <c r="M162" s="25">
        <f>Tbl_2026[[#This Row],[Gross Wt.]]-(Tbl_2026[[#This Row],[Pskal]]+Tbl_2026[[#This Row],[Pack Wt.]])</f>
        <v>0</v>
      </c>
      <c r="N162" s="98"/>
      <c r="O162" s="25">
        <f>Tbl_2026[[#This Row],[Wt. Befor ratio]]*Tbl_2026[[#This Row],[Ratio]]</f>
        <v>0</v>
      </c>
      <c r="P162" s="25"/>
      <c r="Q162" s="25"/>
      <c r="R162" s="25"/>
      <c r="S162" s="25"/>
      <c r="T162" s="25"/>
      <c r="U162" s="25"/>
    </row>
    <row r="163" spans="1:21" x14ac:dyDescent="0.25">
      <c r="A163" s="25" t="str">
        <f t="shared" si="2"/>
        <v/>
      </c>
      <c r="B163" s="192"/>
      <c r="C163" s="205"/>
      <c r="D163" s="25"/>
      <c r="E163" s="25"/>
      <c r="F163" s="25"/>
      <c r="G163" s="25"/>
      <c r="H163" s="25"/>
      <c r="I163" s="25"/>
      <c r="J163" s="25"/>
      <c r="K163" s="25"/>
      <c r="L163" s="25"/>
      <c r="M163" s="25">
        <f>Tbl_2026[[#This Row],[Gross Wt.]]-(Tbl_2026[[#This Row],[Pskal]]+Tbl_2026[[#This Row],[Pack Wt.]])</f>
        <v>0</v>
      </c>
      <c r="N163" s="98"/>
      <c r="O163" s="25">
        <f>Tbl_2026[[#This Row],[Wt. Befor ratio]]*Tbl_2026[[#This Row],[Ratio]]</f>
        <v>0</v>
      </c>
      <c r="P163" s="25"/>
      <c r="Q163" s="25"/>
      <c r="R163" s="25"/>
      <c r="S163" s="25"/>
      <c r="T163" s="25"/>
      <c r="U163" s="25"/>
    </row>
    <row r="164" spans="1:21" x14ac:dyDescent="0.25">
      <c r="A164" s="25" t="str">
        <f t="shared" si="2"/>
        <v/>
      </c>
      <c r="B164" s="192"/>
      <c r="C164" s="205"/>
      <c r="D164" s="25"/>
      <c r="E164" s="25"/>
      <c r="F164" s="25"/>
      <c r="G164" s="25"/>
      <c r="H164" s="25"/>
      <c r="I164" s="25"/>
      <c r="J164" s="25"/>
      <c r="K164" s="25"/>
      <c r="L164" s="25"/>
      <c r="M164" s="25">
        <f>Tbl_2026[[#This Row],[Gross Wt.]]-(Tbl_2026[[#This Row],[Pskal]]+Tbl_2026[[#This Row],[Pack Wt.]])</f>
        <v>0</v>
      </c>
      <c r="N164" s="98"/>
      <c r="O164" s="25">
        <f>Tbl_2026[[#This Row],[Wt. Befor ratio]]*Tbl_2026[[#This Row],[Ratio]]</f>
        <v>0</v>
      </c>
      <c r="P164" s="25"/>
      <c r="Q164" s="25"/>
      <c r="R164" s="25"/>
      <c r="S164" s="25"/>
      <c r="T164" s="25"/>
      <c r="U164" s="25"/>
    </row>
    <row r="165" spans="1:21" x14ac:dyDescent="0.25">
      <c r="A165" s="25" t="str">
        <f t="shared" si="2"/>
        <v/>
      </c>
      <c r="B165" s="192"/>
      <c r="C165" s="205"/>
      <c r="D165" s="25"/>
      <c r="E165" s="25"/>
      <c r="F165" s="25"/>
      <c r="G165" s="25"/>
      <c r="H165" s="25"/>
      <c r="I165" s="25"/>
      <c r="J165" s="25"/>
      <c r="K165" s="25"/>
      <c r="L165" s="25"/>
      <c r="M165" s="25">
        <f>Tbl_2026[[#This Row],[Gross Wt.]]-(Tbl_2026[[#This Row],[Pskal]]+Tbl_2026[[#This Row],[Pack Wt.]])</f>
        <v>0</v>
      </c>
      <c r="N165" s="98"/>
      <c r="O165" s="25">
        <f>Tbl_2026[[#This Row],[Wt. Befor ratio]]*Tbl_2026[[#This Row],[Ratio]]</f>
        <v>0</v>
      </c>
      <c r="P165" s="25"/>
      <c r="Q165" s="25"/>
      <c r="R165" s="25"/>
      <c r="S165" s="25"/>
      <c r="T165" s="25"/>
      <c r="U165" s="25"/>
    </row>
    <row r="166" spans="1:21" x14ac:dyDescent="0.25">
      <c r="A166" s="25" t="str">
        <f t="shared" si="2"/>
        <v/>
      </c>
      <c r="B166" s="192"/>
      <c r="C166" s="205"/>
      <c r="D166" s="25"/>
      <c r="E166" s="25"/>
      <c r="F166" s="25"/>
      <c r="G166" s="25"/>
      <c r="H166" s="25"/>
      <c r="I166" s="25"/>
      <c r="J166" s="25"/>
      <c r="K166" s="25"/>
      <c r="L166" s="25"/>
      <c r="M166" s="25">
        <f>Tbl_2026[[#This Row],[Gross Wt.]]-(Tbl_2026[[#This Row],[Pskal]]+Tbl_2026[[#This Row],[Pack Wt.]])</f>
        <v>0</v>
      </c>
      <c r="N166" s="98"/>
      <c r="O166" s="25">
        <f>Tbl_2026[[#This Row],[Wt. Befor ratio]]*Tbl_2026[[#This Row],[Ratio]]</f>
        <v>0</v>
      </c>
      <c r="P166" s="25"/>
      <c r="Q166" s="25"/>
      <c r="R166" s="25"/>
      <c r="S166" s="25"/>
      <c r="T166" s="25"/>
      <c r="U166" s="25"/>
    </row>
    <row r="167" spans="1:21" x14ac:dyDescent="0.25">
      <c r="A167" s="25" t="str">
        <f t="shared" si="2"/>
        <v/>
      </c>
      <c r="B167" s="192"/>
      <c r="C167" s="205"/>
      <c r="D167" s="25"/>
      <c r="E167" s="25"/>
      <c r="F167" s="25"/>
      <c r="G167" s="25"/>
      <c r="H167" s="25"/>
      <c r="I167" s="25"/>
      <c r="J167" s="25"/>
      <c r="K167" s="25"/>
      <c r="L167" s="25"/>
      <c r="M167" s="25">
        <f>Tbl_2026[[#This Row],[Gross Wt.]]-(Tbl_2026[[#This Row],[Pskal]]+Tbl_2026[[#This Row],[Pack Wt.]])</f>
        <v>0</v>
      </c>
      <c r="N167" s="98"/>
      <c r="O167" s="25">
        <f>Tbl_2026[[#This Row],[Wt. Befor ratio]]*Tbl_2026[[#This Row],[Ratio]]</f>
        <v>0</v>
      </c>
      <c r="P167" s="25"/>
      <c r="Q167" s="25"/>
      <c r="R167" s="25"/>
      <c r="S167" s="25"/>
      <c r="T167" s="25"/>
      <c r="U167" s="25"/>
    </row>
    <row r="168" spans="1:21" x14ac:dyDescent="0.25">
      <c r="A168" s="25" t="str">
        <f t="shared" si="2"/>
        <v/>
      </c>
      <c r="B168" s="192"/>
      <c r="C168" s="205"/>
      <c r="D168" s="25"/>
      <c r="E168" s="25"/>
      <c r="F168" s="25"/>
      <c r="G168" s="25"/>
      <c r="H168" s="25"/>
      <c r="I168" s="25"/>
      <c r="J168" s="25"/>
      <c r="K168" s="25"/>
      <c r="L168" s="25"/>
      <c r="M168" s="25">
        <f>Tbl_2026[[#This Row],[Gross Wt.]]-(Tbl_2026[[#This Row],[Pskal]]+Tbl_2026[[#This Row],[Pack Wt.]])</f>
        <v>0</v>
      </c>
      <c r="N168" s="98"/>
      <c r="O168" s="25">
        <f>Tbl_2026[[#This Row],[Wt. Befor ratio]]*Tbl_2026[[#This Row],[Ratio]]</f>
        <v>0</v>
      </c>
      <c r="P168" s="25"/>
      <c r="Q168" s="25"/>
      <c r="R168" s="25"/>
      <c r="S168" s="25"/>
      <c r="T168" s="25"/>
      <c r="U168" s="25"/>
    </row>
    <row r="169" spans="1:21" x14ac:dyDescent="0.25">
      <c r="A169" s="25" t="str">
        <f t="shared" si="2"/>
        <v/>
      </c>
      <c r="B169" s="192"/>
      <c r="C169" s="205"/>
      <c r="D169" s="25"/>
      <c r="E169" s="25"/>
      <c r="F169" s="25"/>
      <c r="G169" s="25"/>
      <c r="H169" s="25"/>
      <c r="I169" s="25"/>
      <c r="J169" s="25"/>
      <c r="K169" s="25"/>
      <c r="L169" s="25"/>
      <c r="M169" s="25">
        <f>Tbl_2026[[#This Row],[Gross Wt.]]-(Tbl_2026[[#This Row],[Pskal]]+Tbl_2026[[#This Row],[Pack Wt.]])</f>
        <v>0</v>
      </c>
      <c r="N169" s="98"/>
      <c r="O169" s="25">
        <f>Tbl_2026[[#This Row],[Wt. Befor ratio]]*Tbl_2026[[#This Row],[Ratio]]</f>
        <v>0</v>
      </c>
      <c r="P169" s="25"/>
      <c r="Q169" s="25"/>
      <c r="R169" s="25"/>
      <c r="S169" s="25"/>
      <c r="T169" s="25"/>
      <c r="U169" s="25"/>
    </row>
    <row r="170" spans="1:21" x14ac:dyDescent="0.25">
      <c r="A170" s="25" t="str">
        <f t="shared" si="2"/>
        <v/>
      </c>
      <c r="B170" s="192"/>
      <c r="C170" s="205"/>
      <c r="D170" s="25"/>
      <c r="E170" s="25"/>
      <c r="F170" s="25"/>
      <c r="G170" s="25"/>
      <c r="H170" s="25"/>
      <c r="I170" s="25"/>
      <c r="J170" s="25"/>
      <c r="K170" s="25"/>
      <c r="L170" s="25"/>
      <c r="M170" s="25">
        <f>Tbl_2026[[#This Row],[Gross Wt.]]-(Tbl_2026[[#This Row],[Pskal]]+Tbl_2026[[#This Row],[Pack Wt.]])</f>
        <v>0</v>
      </c>
      <c r="N170" s="98"/>
      <c r="O170" s="25">
        <f>Tbl_2026[[#This Row],[Wt. Befor ratio]]*Tbl_2026[[#This Row],[Ratio]]</f>
        <v>0</v>
      </c>
      <c r="P170" s="25"/>
      <c r="Q170" s="25"/>
      <c r="R170" s="25"/>
      <c r="S170" s="25"/>
      <c r="T170" s="25"/>
      <c r="U170" s="25"/>
    </row>
    <row r="171" spans="1:21" x14ac:dyDescent="0.25">
      <c r="A171" s="25" t="str">
        <f t="shared" si="2"/>
        <v/>
      </c>
      <c r="B171" s="192"/>
      <c r="C171" s="205"/>
      <c r="D171" s="25"/>
      <c r="E171" s="25"/>
      <c r="F171" s="25"/>
      <c r="G171" s="25"/>
      <c r="H171" s="25"/>
      <c r="I171" s="25"/>
      <c r="J171" s="25"/>
      <c r="K171" s="25"/>
      <c r="L171" s="25"/>
      <c r="M171" s="25">
        <f>Tbl_2026[[#This Row],[Gross Wt.]]-(Tbl_2026[[#This Row],[Pskal]]+Tbl_2026[[#This Row],[Pack Wt.]])</f>
        <v>0</v>
      </c>
      <c r="N171" s="98"/>
      <c r="O171" s="25">
        <f>Tbl_2026[[#This Row],[Wt. Befor ratio]]*Tbl_2026[[#This Row],[Ratio]]</f>
        <v>0</v>
      </c>
      <c r="P171" s="25"/>
      <c r="Q171" s="25"/>
      <c r="R171" s="25"/>
      <c r="S171" s="25"/>
      <c r="T171" s="25"/>
      <c r="U171" s="25"/>
    </row>
    <row r="172" spans="1:21" x14ac:dyDescent="0.25">
      <c r="A172" s="25" t="str">
        <f t="shared" si="2"/>
        <v/>
      </c>
      <c r="B172" s="192"/>
      <c r="C172" s="205"/>
      <c r="D172" s="25"/>
      <c r="E172" s="25"/>
      <c r="F172" s="25"/>
      <c r="G172" s="25"/>
      <c r="H172" s="25"/>
      <c r="I172" s="25"/>
      <c r="J172" s="25"/>
      <c r="K172" s="25"/>
      <c r="L172" s="25"/>
      <c r="M172" s="25">
        <f>Tbl_2026[[#This Row],[Gross Wt.]]-(Tbl_2026[[#This Row],[Pskal]]+Tbl_2026[[#This Row],[Pack Wt.]])</f>
        <v>0</v>
      </c>
      <c r="N172" s="98"/>
      <c r="O172" s="25">
        <f>Tbl_2026[[#This Row],[Wt. Befor ratio]]*Tbl_2026[[#This Row],[Ratio]]</f>
        <v>0</v>
      </c>
      <c r="P172" s="25"/>
      <c r="Q172" s="25"/>
      <c r="R172" s="25"/>
      <c r="S172" s="25"/>
      <c r="T172" s="25"/>
      <c r="U172" s="25"/>
    </row>
    <row r="173" spans="1:21" x14ac:dyDescent="0.25">
      <c r="A173" s="25" t="str">
        <f t="shared" si="2"/>
        <v/>
      </c>
      <c r="B173" s="192"/>
      <c r="C173" s="205"/>
      <c r="D173" s="25"/>
      <c r="E173" s="25"/>
      <c r="F173" s="25"/>
      <c r="G173" s="25"/>
      <c r="H173" s="25"/>
      <c r="I173" s="25"/>
      <c r="J173" s="25"/>
      <c r="K173" s="25"/>
      <c r="L173" s="25"/>
      <c r="M173" s="25">
        <f>Tbl_2026[[#This Row],[Gross Wt.]]-(Tbl_2026[[#This Row],[Pskal]]+Tbl_2026[[#This Row],[Pack Wt.]])</f>
        <v>0</v>
      </c>
      <c r="N173" s="98"/>
      <c r="O173" s="25">
        <f>Tbl_2026[[#This Row],[Wt. Befor ratio]]*Tbl_2026[[#This Row],[Ratio]]</f>
        <v>0</v>
      </c>
      <c r="P173" s="25"/>
      <c r="Q173" s="25"/>
      <c r="R173" s="25"/>
      <c r="S173" s="25"/>
      <c r="T173" s="25"/>
      <c r="U173" s="25"/>
    </row>
    <row r="174" spans="1:21" x14ac:dyDescent="0.25">
      <c r="A174" s="25" t="str">
        <f t="shared" si="2"/>
        <v/>
      </c>
      <c r="B174" s="192"/>
      <c r="C174" s="205"/>
      <c r="D174" s="25"/>
      <c r="E174" s="25"/>
      <c r="F174" s="25"/>
      <c r="G174" s="25"/>
      <c r="H174" s="25"/>
      <c r="I174" s="25"/>
      <c r="J174" s="25"/>
      <c r="K174" s="25"/>
      <c r="L174" s="25"/>
      <c r="M174" s="25">
        <f>Tbl_2026[[#This Row],[Gross Wt.]]-(Tbl_2026[[#This Row],[Pskal]]+Tbl_2026[[#This Row],[Pack Wt.]])</f>
        <v>0</v>
      </c>
      <c r="N174" s="98"/>
      <c r="O174" s="25">
        <f>Tbl_2026[[#This Row],[Wt. Befor ratio]]*Tbl_2026[[#This Row],[Ratio]]</f>
        <v>0</v>
      </c>
      <c r="P174" s="25"/>
      <c r="Q174" s="25"/>
      <c r="R174" s="25"/>
      <c r="S174" s="25"/>
      <c r="T174" s="25"/>
      <c r="U174" s="25"/>
    </row>
    <row r="175" spans="1:21" x14ac:dyDescent="0.25">
      <c r="A175" s="25" t="str">
        <f t="shared" si="2"/>
        <v/>
      </c>
      <c r="B175" s="192"/>
      <c r="C175" s="205"/>
      <c r="D175" s="25"/>
      <c r="E175" s="25"/>
      <c r="F175" s="25"/>
      <c r="G175" s="25"/>
      <c r="H175" s="25"/>
      <c r="I175" s="25"/>
      <c r="J175" s="25"/>
      <c r="K175" s="25"/>
      <c r="L175" s="25"/>
      <c r="M175" s="25">
        <f>Tbl_2026[[#This Row],[Gross Wt.]]-(Tbl_2026[[#This Row],[Pskal]]+Tbl_2026[[#This Row],[Pack Wt.]])</f>
        <v>0</v>
      </c>
      <c r="N175" s="98"/>
      <c r="O175" s="25">
        <f>Tbl_2026[[#This Row],[Wt. Befor ratio]]*Tbl_2026[[#This Row],[Ratio]]</f>
        <v>0</v>
      </c>
      <c r="P175" s="25"/>
      <c r="Q175" s="25"/>
      <c r="R175" s="25"/>
      <c r="S175" s="25"/>
      <c r="T175" s="25"/>
      <c r="U175" s="25"/>
    </row>
    <row r="176" spans="1:21" x14ac:dyDescent="0.25">
      <c r="A176" s="25" t="str">
        <f t="shared" si="2"/>
        <v/>
      </c>
      <c r="B176" s="192"/>
      <c r="C176" s="205"/>
      <c r="D176" s="25"/>
      <c r="E176" s="25"/>
      <c r="F176" s="25"/>
      <c r="G176" s="25"/>
      <c r="H176" s="25"/>
      <c r="I176" s="25"/>
      <c r="J176" s="25"/>
      <c r="K176" s="25"/>
      <c r="L176" s="25"/>
      <c r="M176" s="25">
        <f>Tbl_2026[[#This Row],[Gross Wt.]]-(Tbl_2026[[#This Row],[Pskal]]+Tbl_2026[[#This Row],[Pack Wt.]])</f>
        <v>0</v>
      </c>
      <c r="N176" s="98"/>
      <c r="O176" s="25">
        <f>Tbl_2026[[#This Row],[Wt. Befor ratio]]*Tbl_2026[[#This Row],[Ratio]]</f>
        <v>0</v>
      </c>
      <c r="P176" s="25"/>
      <c r="Q176" s="25"/>
      <c r="R176" s="25"/>
      <c r="S176" s="25"/>
      <c r="T176" s="25"/>
      <c r="U176" s="25"/>
    </row>
    <row r="177" spans="1:21" x14ac:dyDescent="0.25">
      <c r="A177" s="25" t="str">
        <f t="shared" si="2"/>
        <v/>
      </c>
      <c r="B177" s="192"/>
      <c r="C177" s="205"/>
      <c r="D177" s="25"/>
      <c r="E177" s="25"/>
      <c r="F177" s="25"/>
      <c r="G177" s="25"/>
      <c r="H177" s="25"/>
      <c r="I177" s="25"/>
      <c r="J177" s="25"/>
      <c r="K177" s="25"/>
      <c r="L177" s="25"/>
      <c r="M177" s="25">
        <f>Tbl_2026[[#This Row],[Gross Wt.]]-(Tbl_2026[[#This Row],[Pskal]]+Tbl_2026[[#This Row],[Pack Wt.]])</f>
        <v>0</v>
      </c>
      <c r="N177" s="98"/>
      <c r="O177" s="25">
        <f>Tbl_2026[[#This Row],[Wt. Befor ratio]]*Tbl_2026[[#This Row],[Ratio]]</f>
        <v>0</v>
      </c>
      <c r="P177" s="25"/>
      <c r="Q177" s="25"/>
      <c r="R177" s="25"/>
      <c r="S177" s="25"/>
      <c r="T177" s="25"/>
      <c r="U177" s="25"/>
    </row>
    <row r="178" spans="1:21" x14ac:dyDescent="0.25">
      <c r="A178" s="25" t="str">
        <f t="shared" si="2"/>
        <v/>
      </c>
      <c r="B178" s="192"/>
      <c r="C178" s="205"/>
      <c r="D178" s="25"/>
      <c r="E178" s="25"/>
      <c r="F178" s="25"/>
      <c r="G178" s="25"/>
      <c r="H178" s="25"/>
      <c r="I178" s="25"/>
      <c r="J178" s="25"/>
      <c r="K178" s="25"/>
      <c r="L178" s="25"/>
      <c r="M178" s="25">
        <f>Tbl_2026[[#This Row],[Gross Wt.]]-(Tbl_2026[[#This Row],[Pskal]]+Tbl_2026[[#This Row],[Pack Wt.]])</f>
        <v>0</v>
      </c>
      <c r="N178" s="98"/>
      <c r="O178" s="25">
        <f>Tbl_2026[[#This Row],[Wt. Befor ratio]]*Tbl_2026[[#This Row],[Ratio]]</f>
        <v>0</v>
      </c>
      <c r="P178" s="25"/>
      <c r="Q178" s="25"/>
      <c r="R178" s="25"/>
      <c r="S178" s="25"/>
      <c r="T178" s="25"/>
      <c r="U178" s="25"/>
    </row>
    <row r="179" spans="1:21" x14ac:dyDescent="0.25">
      <c r="A179" s="25" t="str">
        <f t="shared" si="2"/>
        <v/>
      </c>
      <c r="B179" s="192"/>
      <c r="C179" s="205"/>
      <c r="D179" s="25"/>
      <c r="E179" s="25"/>
      <c r="F179" s="25"/>
      <c r="G179" s="25"/>
      <c r="H179" s="25"/>
      <c r="I179" s="25"/>
      <c r="J179" s="25"/>
      <c r="K179" s="25"/>
      <c r="L179" s="25"/>
      <c r="M179" s="25">
        <f>Tbl_2026[[#This Row],[Gross Wt.]]-(Tbl_2026[[#This Row],[Pskal]]+Tbl_2026[[#This Row],[Pack Wt.]])</f>
        <v>0</v>
      </c>
      <c r="N179" s="98"/>
      <c r="O179" s="25">
        <f>Tbl_2026[[#This Row],[Wt. Befor ratio]]*Tbl_2026[[#This Row],[Ratio]]</f>
        <v>0</v>
      </c>
      <c r="P179" s="25"/>
      <c r="Q179" s="25"/>
      <c r="R179" s="25"/>
      <c r="S179" s="25"/>
      <c r="T179" s="25"/>
      <c r="U179" s="25"/>
    </row>
    <row r="180" spans="1:21" x14ac:dyDescent="0.25">
      <c r="A180" s="25" t="str">
        <f t="shared" si="2"/>
        <v/>
      </c>
      <c r="B180" s="192"/>
      <c r="C180" s="205"/>
      <c r="D180" s="25"/>
      <c r="E180" s="25"/>
      <c r="F180" s="25"/>
      <c r="G180" s="25"/>
      <c r="H180" s="25"/>
      <c r="I180" s="25"/>
      <c r="J180" s="25"/>
      <c r="K180" s="25"/>
      <c r="L180" s="25"/>
      <c r="M180" s="25">
        <f>Tbl_2026[[#This Row],[Gross Wt.]]-(Tbl_2026[[#This Row],[Pskal]]+Tbl_2026[[#This Row],[Pack Wt.]])</f>
        <v>0</v>
      </c>
      <c r="N180" s="98"/>
      <c r="O180" s="25">
        <f>Tbl_2026[[#This Row],[Wt. Befor ratio]]*Tbl_2026[[#This Row],[Ratio]]</f>
        <v>0</v>
      </c>
      <c r="P180" s="25"/>
      <c r="Q180" s="25"/>
      <c r="R180" s="25"/>
      <c r="S180" s="25"/>
      <c r="T180" s="25"/>
      <c r="U180" s="25"/>
    </row>
    <row r="181" spans="1:21" x14ac:dyDescent="0.25">
      <c r="A181" s="25" t="str">
        <f t="shared" si="2"/>
        <v/>
      </c>
      <c r="B181" s="192"/>
      <c r="C181" s="205"/>
      <c r="D181" s="25"/>
      <c r="E181" s="25"/>
      <c r="F181" s="25"/>
      <c r="G181" s="25"/>
      <c r="H181" s="25"/>
      <c r="I181" s="25"/>
      <c r="J181" s="25"/>
      <c r="K181" s="25"/>
      <c r="L181" s="25"/>
      <c r="M181" s="25">
        <f>Tbl_2026[[#This Row],[Gross Wt.]]-(Tbl_2026[[#This Row],[Pskal]]+Tbl_2026[[#This Row],[Pack Wt.]])</f>
        <v>0</v>
      </c>
      <c r="N181" s="98"/>
      <c r="O181" s="25">
        <f>Tbl_2026[[#This Row],[Wt. Befor ratio]]*Tbl_2026[[#This Row],[Ratio]]</f>
        <v>0</v>
      </c>
      <c r="P181" s="25"/>
      <c r="Q181" s="25"/>
      <c r="R181" s="25"/>
      <c r="S181" s="25"/>
      <c r="T181" s="25"/>
      <c r="U181" s="25"/>
    </row>
    <row r="182" spans="1:21" x14ac:dyDescent="0.25">
      <c r="A182" s="25" t="str">
        <f t="shared" si="2"/>
        <v/>
      </c>
      <c r="B182" s="192"/>
      <c r="C182" s="205"/>
      <c r="D182" s="25"/>
      <c r="E182" s="25"/>
      <c r="F182" s="25"/>
      <c r="G182" s="25"/>
      <c r="H182" s="25"/>
      <c r="I182" s="25"/>
      <c r="J182" s="25"/>
      <c r="K182" s="25"/>
      <c r="L182" s="25"/>
      <c r="M182" s="25">
        <f>Tbl_2026[[#This Row],[Gross Wt.]]-(Tbl_2026[[#This Row],[Pskal]]+Tbl_2026[[#This Row],[Pack Wt.]])</f>
        <v>0</v>
      </c>
      <c r="N182" s="98"/>
      <c r="O182" s="25">
        <f>Tbl_2026[[#This Row],[Wt. Befor ratio]]*Tbl_2026[[#This Row],[Ratio]]</f>
        <v>0</v>
      </c>
      <c r="P182" s="25"/>
      <c r="Q182" s="25"/>
      <c r="R182" s="25"/>
      <c r="S182" s="25"/>
      <c r="T182" s="25"/>
      <c r="U182" s="25"/>
    </row>
    <row r="183" spans="1:21" x14ac:dyDescent="0.25">
      <c r="A183" s="25" t="str">
        <f t="shared" si="2"/>
        <v/>
      </c>
      <c r="B183" s="192"/>
      <c r="C183" s="205"/>
      <c r="D183" s="25"/>
      <c r="E183" s="25"/>
      <c r="F183" s="25"/>
      <c r="G183" s="25"/>
      <c r="H183" s="25"/>
      <c r="I183" s="25"/>
      <c r="J183" s="25"/>
      <c r="K183" s="25"/>
      <c r="L183" s="25"/>
      <c r="M183" s="25">
        <f>Tbl_2026[[#This Row],[Gross Wt.]]-(Tbl_2026[[#This Row],[Pskal]]+Tbl_2026[[#This Row],[Pack Wt.]])</f>
        <v>0</v>
      </c>
      <c r="N183" s="98"/>
      <c r="O183" s="25">
        <f>Tbl_2026[[#This Row],[Wt. Befor ratio]]*Tbl_2026[[#This Row],[Ratio]]</f>
        <v>0</v>
      </c>
      <c r="P183" s="25"/>
      <c r="Q183" s="25"/>
      <c r="R183" s="25"/>
      <c r="S183" s="25"/>
      <c r="T183" s="25"/>
      <c r="U183" s="25"/>
    </row>
    <row r="184" spans="1:21" x14ac:dyDescent="0.25">
      <c r="A184" s="25" t="str">
        <f t="shared" si="2"/>
        <v/>
      </c>
      <c r="B184" s="192"/>
      <c r="C184" s="205"/>
      <c r="D184" s="25"/>
      <c r="E184" s="25"/>
      <c r="F184" s="25"/>
      <c r="G184" s="25"/>
      <c r="H184" s="25"/>
      <c r="I184" s="25"/>
      <c r="J184" s="25"/>
      <c r="K184" s="25"/>
      <c r="L184" s="25"/>
      <c r="M184" s="25">
        <f>Tbl_2026[[#This Row],[Gross Wt.]]-(Tbl_2026[[#This Row],[Pskal]]+Tbl_2026[[#This Row],[Pack Wt.]])</f>
        <v>0</v>
      </c>
      <c r="N184" s="98"/>
      <c r="O184" s="25">
        <f>Tbl_2026[[#This Row],[Wt. Befor ratio]]*Tbl_2026[[#This Row],[Ratio]]</f>
        <v>0</v>
      </c>
      <c r="P184" s="25"/>
      <c r="Q184" s="25"/>
      <c r="R184" s="25"/>
      <c r="S184" s="25"/>
      <c r="T184" s="25"/>
      <c r="U184" s="25"/>
    </row>
    <row r="185" spans="1:21" x14ac:dyDescent="0.25">
      <c r="A185" s="25" t="str">
        <f t="shared" si="2"/>
        <v/>
      </c>
      <c r="B185" s="192"/>
      <c r="C185" s="205"/>
      <c r="D185" s="25"/>
      <c r="E185" s="25"/>
      <c r="F185" s="25"/>
      <c r="G185" s="25"/>
      <c r="H185" s="25"/>
      <c r="I185" s="25"/>
      <c r="J185" s="25"/>
      <c r="K185" s="25"/>
      <c r="L185" s="25"/>
      <c r="M185" s="25">
        <f>Tbl_2026[[#This Row],[Gross Wt.]]-(Tbl_2026[[#This Row],[Pskal]]+Tbl_2026[[#This Row],[Pack Wt.]])</f>
        <v>0</v>
      </c>
      <c r="N185" s="98"/>
      <c r="O185" s="25">
        <f>Tbl_2026[[#This Row],[Wt. Befor ratio]]*Tbl_2026[[#This Row],[Ratio]]</f>
        <v>0</v>
      </c>
      <c r="P185" s="25"/>
      <c r="Q185" s="25"/>
      <c r="R185" s="25"/>
      <c r="S185" s="25"/>
      <c r="T185" s="25"/>
      <c r="U185" s="25"/>
    </row>
    <row r="186" spans="1:21" x14ac:dyDescent="0.25">
      <c r="A186" s="25" t="str">
        <f t="shared" si="2"/>
        <v/>
      </c>
      <c r="B186" s="192"/>
      <c r="C186" s="205"/>
      <c r="D186" s="25"/>
      <c r="E186" s="25"/>
      <c r="F186" s="25"/>
      <c r="G186" s="25"/>
      <c r="H186" s="25"/>
      <c r="I186" s="25"/>
      <c r="J186" s="25"/>
      <c r="K186" s="25"/>
      <c r="L186" s="25"/>
      <c r="M186" s="25">
        <f>Tbl_2026[[#This Row],[Gross Wt.]]-(Tbl_2026[[#This Row],[Pskal]]+Tbl_2026[[#This Row],[Pack Wt.]])</f>
        <v>0</v>
      </c>
      <c r="N186" s="98"/>
      <c r="O186" s="25">
        <f>Tbl_2026[[#This Row],[Wt. Befor ratio]]*Tbl_2026[[#This Row],[Ratio]]</f>
        <v>0</v>
      </c>
      <c r="P186" s="25"/>
      <c r="Q186" s="25"/>
      <c r="R186" s="25"/>
      <c r="S186" s="25"/>
      <c r="T186" s="25"/>
      <c r="U186" s="25"/>
    </row>
    <row r="187" spans="1:21" x14ac:dyDescent="0.25">
      <c r="A187" s="25" t="str">
        <f t="shared" si="2"/>
        <v/>
      </c>
      <c r="B187" s="192"/>
      <c r="C187" s="205"/>
      <c r="D187" s="25"/>
      <c r="E187" s="25"/>
      <c r="F187" s="25"/>
      <c r="G187" s="25"/>
      <c r="H187" s="25"/>
      <c r="I187" s="25"/>
      <c r="J187" s="25"/>
      <c r="K187" s="25"/>
      <c r="L187" s="25"/>
      <c r="M187" s="25">
        <f>Tbl_2026[[#This Row],[Gross Wt.]]-(Tbl_2026[[#This Row],[Pskal]]+Tbl_2026[[#This Row],[Pack Wt.]])</f>
        <v>0</v>
      </c>
      <c r="N187" s="98"/>
      <c r="O187" s="25">
        <f>Tbl_2026[[#This Row],[Wt. Befor ratio]]*Tbl_2026[[#This Row],[Ratio]]</f>
        <v>0</v>
      </c>
      <c r="P187" s="25"/>
      <c r="Q187" s="25"/>
      <c r="R187" s="25"/>
      <c r="S187" s="25"/>
      <c r="T187" s="25"/>
      <c r="U187" s="25"/>
    </row>
    <row r="188" spans="1:21" x14ac:dyDescent="0.25">
      <c r="A188" s="25" t="str">
        <f t="shared" si="2"/>
        <v/>
      </c>
      <c r="B188" s="192"/>
      <c r="C188" s="205"/>
      <c r="D188" s="25"/>
      <c r="E188" s="25"/>
      <c r="F188" s="25"/>
      <c r="G188" s="25"/>
      <c r="H188" s="25"/>
      <c r="I188" s="25"/>
      <c r="J188" s="25"/>
      <c r="K188" s="25"/>
      <c r="L188" s="25"/>
      <c r="M188" s="25">
        <f>Tbl_2026[[#This Row],[Gross Wt.]]-(Tbl_2026[[#This Row],[Pskal]]+Tbl_2026[[#This Row],[Pack Wt.]])</f>
        <v>0</v>
      </c>
      <c r="N188" s="98"/>
      <c r="O188" s="25">
        <f>Tbl_2026[[#This Row],[Wt. Befor ratio]]*Tbl_2026[[#This Row],[Ratio]]</f>
        <v>0</v>
      </c>
      <c r="P188" s="25"/>
      <c r="Q188" s="25"/>
      <c r="R188" s="25"/>
      <c r="S188" s="25"/>
      <c r="T188" s="25"/>
      <c r="U188" s="25"/>
    </row>
    <row r="189" spans="1:21" x14ac:dyDescent="0.25">
      <c r="A189" s="25" t="str">
        <f t="shared" si="2"/>
        <v/>
      </c>
      <c r="B189" s="192"/>
      <c r="C189" s="205"/>
      <c r="D189" s="25"/>
      <c r="E189" s="25"/>
      <c r="F189" s="25"/>
      <c r="G189" s="25"/>
      <c r="H189" s="25"/>
      <c r="I189" s="25"/>
      <c r="J189" s="25"/>
      <c r="K189" s="25"/>
      <c r="L189" s="25"/>
      <c r="M189" s="25">
        <f>Tbl_2026[[#This Row],[Gross Wt.]]-(Tbl_2026[[#This Row],[Pskal]]+Tbl_2026[[#This Row],[Pack Wt.]])</f>
        <v>0</v>
      </c>
      <c r="N189" s="98"/>
      <c r="O189" s="25">
        <f>Tbl_2026[[#This Row],[Wt. Befor ratio]]*Tbl_2026[[#This Row],[Ratio]]</f>
        <v>0</v>
      </c>
      <c r="P189" s="25"/>
      <c r="Q189" s="25"/>
      <c r="R189" s="25"/>
      <c r="S189" s="25"/>
      <c r="T189" s="25"/>
      <c r="U189" s="25"/>
    </row>
    <row r="190" spans="1:21" x14ac:dyDescent="0.25">
      <c r="A190" s="25" t="str">
        <f t="shared" si="2"/>
        <v/>
      </c>
      <c r="B190" s="192"/>
      <c r="C190" s="205"/>
      <c r="D190" s="25"/>
      <c r="E190" s="25"/>
      <c r="F190" s="25"/>
      <c r="G190" s="25"/>
      <c r="H190" s="25"/>
      <c r="I190" s="25"/>
      <c r="J190" s="25"/>
      <c r="K190" s="25"/>
      <c r="L190" s="25"/>
      <c r="M190" s="25">
        <f>Tbl_2026[[#This Row],[Gross Wt.]]-(Tbl_2026[[#This Row],[Pskal]]+Tbl_2026[[#This Row],[Pack Wt.]])</f>
        <v>0</v>
      </c>
      <c r="N190" s="98"/>
      <c r="O190" s="25">
        <f>Tbl_2026[[#This Row],[Wt. Befor ratio]]*Tbl_2026[[#This Row],[Ratio]]</f>
        <v>0</v>
      </c>
      <c r="P190" s="25"/>
      <c r="Q190" s="25"/>
      <c r="R190" s="25"/>
      <c r="S190" s="25"/>
      <c r="T190" s="25"/>
      <c r="U190" s="25"/>
    </row>
    <row r="191" spans="1:21" x14ac:dyDescent="0.25">
      <c r="A191" s="25" t="str">
        <f t="shared" si="2"/>
        <v/>
      </c>
      <c r="B191" s="192"/>
      <c r="C191" s="205"/>
      <c r="D191" s="25"/>
      <c r="E191" s="25"/>
      <c r="F191" s="25"/>
      <c r="G191" s="25"/>
      <c r="H191" s="25"/>
      <c r="I191" s="25"/>
      <c r="J191" s="25"/>
      <c r="K191" s="25"/>
      <c r="L191" s="25"/>
      <c r="M191" s="25">
        <f>Tbl_2026[[#This Row],[Gross Wt.]]-(Tbl_2026[[#This Row],[Pskal]]+Tbl_2026[[#This Row],[Pack Wt.]])</f>
        <v>0</v>
      </c>
      <c r="N191" s="98"/>
      <c r="O191" s="25">
        <f>Tbl_2026[[#This Row],[Wt. Befor ratio]]*Tbl_2026[[#This Row],[Ratio]]</f>
        <v>0</v>
      </c>
      <c r="P191" s="25"/>
      <c r="Q191" s="25"/>
      <c r="R191" s="25"/>
      <c r="S191" s="25"/>
      <c r="T191" s="25"/>
      <c r="U191" s="25"/>
    </row>
    <row r="192" spans="1:21" x14ac:dyDescent="0.25">
      <c r="A192" s="25" t="str">
        <f t="shared" si="2"/>
        <v/>
      </c>
      <c r="B192" s="192"/>
      <c r="C192" s="205"/>
      <c r="D192" s="25"/>
      <c r="E192" s="25"/>
      <c r="F192" s="25"/>
      <c r="G192" s="25"/>
      <c r="H192" s="25"/>
      <c r="I192" s="25"/>
      <c r="J192" s="25"/>
      <c r="K192" s="25"/>
      <c r="L192" s="25"/>
      <c r="M192" s="25">
        <f>Tbl_2026[[#This Row],[Gross Wt.]]-(Tbl_2026[[#This Row],[Pskal]]+Tbl_2026[[#This Row],[Pack Wt.]])</f>
        <v>0</v>
      </c>
      <c r="N192" s="98"/>
      <c r="O192" s="25">
        <f>Tbl_2026[[#This Row],[Wt. Befor ratio]]*Tbl_2026[[#This Row],[Ratio]]</f>
        <v>0</v>
      </c>
      <c r="P192" s="25"/>
      <c r="Q192" s="25"/>
      <c r="R192" s="25"/>
      <c r="S192" s="25"/>
      <c r="T192" s="25"/>
      <c r="U192" s="25"/>
    </row>
    <row r="193" spans="1:21" x14ac:dyDescent="0.25">
      <c r="A193" s="25" t="str">
        <f t="shared" si="2"/>
        <v/>
      </c>
      <c r="B193" s="192"/>
      <c r="C193" s="205"/>
      <c r="D193" s="25"/>
      <c r="E193" s="25"/>
      <c r="F193" s="25"/>
      <c r="G193" s="25"/>
      <c r="H193" s="25"/>
      <c r="I193" s="25"/>
      <c r="J193" s="25"/>
      <c r="K193" s="25"/>
      <c r="L193" s="25"/>
      <c r="M193" s="25">
        <f>Tbl_2026[[#This Row],[Gross Wt.]]-(Tbl_2026[[#This Row],[Pskal]]+Tbl_2026[[#This Row],[Pack Wt.]])</f>
        <v>0</v>
      </c>
      <c r="N193" s="98"/>
      <c r="O193" s="25">
        <f>Tbl_2026[[#This Row],[Wt. Befor ratio]]*Tbl_2026[[#This Row],[Ratio]]</f>
        <v>0</v>
      </c>
      <c r="P193" s="25"/>
      <c r="Q193" s="25"/>
      <c r="R193" s="25"/>
      <c r="S193" s="25"/>
      <c r="T193" s="25"/>
      <c r="U193" s="25"/>
    </row>
    <row r="194" spans="1:21" x14ac:dyDescent="0.25">
      <c r="A194" s="25" t="str">
        <f t="shared" si="2"/>
        <v/>
      </c>
      <c r="B194" s="192"/>
      <c r="C194" s="205"/>
      <c r="D194" s="25"/>
      <c r="E194" s="25"/>
      <c r="F194" s="25"/>
      <c r="G194" s="25"/>
      <c r="H194" s="25"/>
      <c r="I194" s="25"/>
      <c r="J194" s="25"/>
      <c r="K194" s="25"/>
      <c r="L194" s="25"/>
      <c r="M194" s="25">
        <f>Tbl_2026[[#This Row],[Gross Wt.]]-(Tbl_2026[[#This Row],[Pskal]]+Tbl_2026[[#This Row],[Pack Wt.]])</f>
        <v>0</v>
      </c>
      <c r="N194" s="98"/>
      <c r="O194" s="25">
        <f>Tbl_2026[[#This Row],[Wt. Befor ratio]]*Tbl_2026[[#This Row],[Ratio]]</f>
        <v>0</v>
      </c>
      <c r="P194" s="25"/>
      <c r="Q194" s="25"/>
      <c r="R194" s="25"/>
      <c r="S194" s="25"/>
      <c r="T194" s="25"/>
      <c r="U194" s="25"/>
    </row>
    <row r="195" spans="1:21" x14ac:dyDescent="0.25">
      <c r="A195" s="25" t="str">
        <f t="shared" si="2"/>
        <v/>
      </c>
      <c r="B195" s="97"/>
      <c r="C195" s="205"/>
      <c r="D195" s="25"/>
      <c r="E195" s="25"/>
      <c r="F195" s="25"/>
      <c r="G195" s="25"/>
      <c r="H195" s="25"/>
      <c r="I195" s="25"/>
      <c r="J195" s="25"/>
      <c r="K195" s="25"/>
      <c r="L195" s="25"/>
      <c r="M195" s="25">
        <f>Tbl_2026[[#This Row],[Gross Wt.]]-(Tbl_2026[[#This Row],[Pskal]]+Tbl_2026[[#This Row],[Pack Wt.]])</f>
        <v>0</v>
      </c>
      <c r="N195" s="98"/>
      <c r="O195" s="25">
        <f>Tbl_2026[[#This Row],[Wt. Befor ratio]]*Tbl_2026[[#This Row],[Ratio]]</f>
        <v>0</v>
      </c>
      <c r="P195" s="25"/>
      <c r="Q195" s="25"/>
      <c r="R195" s="25"/>
      <c r="S195" s="25"/>
      <c r="T195" s="25"/>
      <c r="U195" s="25"/>
    </row>
    <row r="196" spans="1:21" x14ac:dyDescent="0.25">
      <c r="A196" s="25" t="str">
        <f t="shared" ref="A196:A259" si="3">IF(B196&gt;0,A195+1,"")</f>
        <v/>
      </c>
      <c r="B196" s="97"/>
      <c r="C196" s="205"/>
      <c r="D196" s="25"/>
      <c r="E196" s="25"/>
      <c r="F196" s="25"/>
      <c r="G196" s="25"/>
      <c r="H196" s="25"/>
      <c r="I196" s="25"/>
      <c r="J196" s="25"/>
      <c r="K196" s="25"/>
      <c r="L196" s="25"/>
      <c r="M196" s="25">
        <f>Tbl_2026[[#This Row],[Gross Wt.]]-(Tbl_2026[[#This Row],[Pskal]]+Tbl_2026[[#This Row],[Pack Wt.]])</f>
        <v>0</v>
      </c>
      <c r="N196" s="98"/>
      <c r="O196" s="25">
        <f>Tbl_2026[[#This Row],[Wt. Befor ratio]]*Tbl_2026[[#This Row],[Ratio]]</f>
        <v>0</v>
      </c>
      <c r="P196" s="25"/>
      <c r="Q196" s="25"/>
      <c r="R196" s="25"/>
      <c r="S196" s="25"/>
      <c r="T196" s="25"/>
      <c r="U196" s="25"/>
    </row>
    <row r="197" spans="1:21" x14ac:dyDescent="0.25">
      <c r="A197" s="25" t="str">
        <f t="shared" si="3"/>
        <v/>
      </c>
      <c r="B197" s="97"/>
      <c r="C197" s="205"/>
      <c r="D197" s="25"/>
      <c r="E197" s="25"/>
      <c r="F197" s="25"/>
      <c r="G197" s="25"/>
      <c r="H197" s="25"/>
      <c r="I197" s="25"/>
      <c r="J197" s="25"/>
      <c r="K197" s="25"/>
      <c r="L197" s="25"/>
      <c r="M197" s="25">
        <f>Tbl_2026[[#This Row],[Gross Wt.]]-(Tbl_2026[[#This Row],[Pskal]]+Tbl_2026[[#This Row],[Pack Wt.]])</f>
        <v>0</v>
      </c>
      <c r="N197" s="98"/>
      <c r="O197" s="25">
        <f>Tbl_2026[[#This Row],[Wt. Befor ratio]]*Tbl_2026[[#This Row],[Ratio]]</f>
        <v>0</v>
      </c>
      <c r="P197" s="25"/>
      <c r="Q197" s="25"/>
      <c r="R197" s="25"/>
      <c r="S197" s="25"/>
      <c r="T197" s="25"/>
      <c r="U197" s="25"/>
    </row>
    <row r="198" spans="1:21" x14ac:dyDescent="0.25">
      <c r="A198" s="25" t="str">
        <f t="shared" si="3"/>
        <v/>
      </c>
      <c r="B198" s="97"/>
      <c r="C198" s="205"/>
      <c r="D198" s="25"/>
      <c r="E198" s="25"/>
      <c r="F198" s="25"/>
      <c r="G198" s="25"/>
      <c r="H198" s="25"/>
      <c r="I198" s="25"/>
      <c r="J198" s="25"/>
      <c r="K198" s="25"/>
      <c r="L198" s="25"/>
      <c r="M198" s="25">
        <f>Tbl_2026[[#This Row],[Gross Wt.]]-(Tbl_2026[[#This Row],[Pskal]]+Tbl_2026[[#This Row],[Pack Wt.]])</f>
        <v>0</v>
      </c>
      <c r="N198" s="98"/>
      <c r="O198" s="25">
        <f>Tbl_2026[[#This Row],[Wt. Befor ratio]]*Tbl_2026[[#This Row],[Ratio]]</f>
        <v>0</v>
      </c>
      <c r="P198" s="25"/>
      <c r="Q198" s="25"/>
      <c r="R198" s="25"/>
      <c r="S198" s="25"/>
      <c r="T198" s="25"/>
      <c r="U198" s="25"/>
    </row>
    <row r="199" spans="1:21" x14ac:dyDescent="0.25">
      <c r="A199" s="25" t="str">
        <f t="shared" si="3"/>
        <v/>
      </c>
      <c r="B199" s="97"/>
      <c r="C199" s="205"/>
      <c r="D199" s="25"/>
      <c r="E199" s="25"/>
      <c r="F199" s="25"/>
      <c r="G199" s="25"/>
      <c r="H199" s="25"/>
      <c r="I199" s="25"/>
      <c r="J199" s="25"/>
      <c r="K199" s="25"/>
      <c r="L199" s="25"/>
      <c r="M199" s="25">
        <f>Tbl_2026[[#This Row],[Gross Wt.]]-(Tbl_2026[[#This Row],[Pskal]]+Tbl_2026[[#This Row],[Pack Wt.]])</f>
        <v>0</v>
      </c>
      <c r="N199" s="98"/>
      <c r="O199" s="25">
        <f>Tbl_2026[[#This Row],[Wt. Befor ratio]]*Tbl_2026[[#This Row],[Ratio]]</f>
        <v>0</v>
      </c>
      <c r="P199" s="25"/>
      <c r="Q199" s="25"/>
      <c r="R199" s="25"/>
      <c r="S199" s="25"/>
      <c r="T199" s="25"/>
      <c r="U199" s="25"/>
    </row>
    <row r="200" spans="1:21" x14ac:dyDescent="0.25">
      <c r="A200" s="25" t="str">
        <f t="shared" si="3"/>
        <v/>
      </c>
      <c r="B200" s="97"/>
      <c r="C200" s="205"/>
      <c r="D200" s="25"/>
      <c r="E200" s="25"/>
      <c r="F200" s="25"/>
      <c r="G200" s="25"/>
      <c r="H200" s="25"/>
      <c r="I200" s="25"/>
      <c r="J200" s="25"/>
      <c r="K200" s="25"/>
      <c r="L200" s="25"/>
      <c r="M200" s="25">
        <f>Tbl_2026[[#This Row],[Gross Wt.]]-(Tbl_2026[[#This Row],[Pskal]]+Tbl_2026[[#This Row],[Pack Wt.]])</f>
        <v>0</v>
      </c>
      <c r="N200" s="98"/>
      <c r="O200" s="25">
        <f>Tbl_2026[[#This Row],[Wt. Befor ratio]]*Tbl_2026[[#This Row],[Ratio]]</f>
        <v>0</v>
      </c>
      <c r="P200" s="25"/>
      <c r="Q200" s="25"/>
      <c r="R200" s="25"/>
      <c r="S200" s="25"/>
      <c r="T200" s="25"/>
      <c r="U200" s="25"/>
    </row>
    <row r="201" spans="1:21" x14ac:dyDescent="0.25">
      <c r="A201" s="25" t="str">
        <f t="shared" si="3"/>
        <v/>
      </c>
      <c r="B201" s="97"/>
      <c r="C201" s="205"/>
      <c r="D201" s="25"/>
      <c r="E201" s="25"/>
      <c r="F201" s="25"/>
      <c r="G201" s="25"/>
      <c r="H201" s="25"/>
      <c r="I201" s="25"/>
      <c r="J201" s="25"/>
      <c r="K201" s="25"/>
      <c r="L201" s="25"/>
      <c r="M201" s="25">
        <f>Tbl_2026[[#This Row],[Gross Wt.]]-(Tbl_2026[[#This Row],[Pskal]]+Tbl_2026[[#This Row],[Pack Wt.]])</f>
        <v>0</v>
      </c>
      <c r="N201" s="98"/>
      <c r="O201" s="25">
        <f>Tbl_2026[[#This Row],[Wt. Befor ratio]]*Tbl_2026[[#This Row],[Ratio]]</f>
        <v>0</v>
      </c>
      <c r="P201" s="25"/>
      <c r="Q201" s="25"/>
      <c r="R201" s="25"/>
      <c r="S201" s="25"/>
      <c r="T201" s="25"/>
      <c r="U201" s="25"/>
    </row>
    <row r="202" spans="1:21" x14ac:dyDescent="0.25">
      <c r="A202" s="25" t="str">
        <f t="shared" si="3"/>
        <v/>
      </c>
      <c r="B202" s="97"/>
      <c r="C202" s="205"/>
      <c r="D202" s="25"/>
      <c r="E202" s="25"/>
      <c r="F202" s="25"/>
      <c r="G202" s="25"/>
      <c r="H202" s="25"/>
      <c r="I202" s="25"/>
      <c r="J202" s="25"/>
      <c r="K202" s="25"/>
      <c r="L202" s="25"/>
      <c r="M202" s="25">
        <f>Tbl_2026[[#This Row],[Gross Wt.]]-(Tbl_2026[[#This Row],[Pskal]]+Tbl_2026[[#This Row],[Pack Wt.]])</f>
        <v>0</v>
      </c>
      <c r="N202" s="98"/>
      <c r="O202" s="25">
        <f>Tbl_2026[[#This Row],[Wt. Befor ratio]]*Tbl_2026[[#This Row],[Ratio]]</f>
        <v>0</v>
      </c>
      <c r="P202" s="25"/>
      <c r="Q202" s="25"/>
      <c r="R202" s="25"/>
      <c r="S202" s="25"/>
      <c r="T202" s="25"/>
      <c r="U202" s="25"/>
    </row>
    <row r="203" spans="1:21" x14ac:dyDescent="0.25">
      <c r="A203" s="25" t="str">
        <f t="shared" si="3"/>
        <v/>
      </c>
      <c r="B203" s="97"/>
      <c r="C203" s="205"/>
      <c r="D203" s="25"/>
      <c r="E203" s="25"/>
      <c r="F203" s="25"/>
      <c r="G203" s="25"/>
      <c r="H203" s="25"/>
      <c r="I203" s="25"/>
      <c r="J203" s="25"/>
      <c r="K203" s="25"/>
      <c r="L203" s="25"/>
      <c r="M203" s="25">
        <f>Tbl_2026[[#This Row],[Gross Wt.]]-(Tbl_2026[[#This Row],[Pskal]]+Tbl_2026[[#This Row],[Pack Wt.]])</f>
        <v>0</v>
      </c>
      <c r="N203" s="98"/>
      <c r="O203" s="25">
        <f>Tbl_2026[[#This Row],[Wt. Befor ratio]]*Tbl_2026[[#This Row],[Ratio]]</f>
        <v>0</v>
      </c>
      <c r="P203" s="25"/>
      <c r="Q203" s="25"/>
      <c r="R203" s="25"/>
      <c r="S203" s="25"/>
      <c r="T203" s="25"/>
      <c r="U203" s="25"/>
    </row>
    <row r="204" spans="1:21" x14ac:dyDescent="0.25">
      <c r="A204" s="25" t="str">
        <f t="shared" si="3"/>
        <v/>
      </c>
      <c r="B204" s="97"/>
      <c r="C204" s="205"/>
      <c r="D204" s="25"/>
      <c r="E204" s="25"/>
      <c r="F204" s="25"/>
      <c r="G204" s="25"/>
      <c r="H204" s="25"/>
      <c r="I204" s="25"/>
      <c r="J204" s="25"/>
      <c r="K204" s="25"/>
      <c r="L204" s="25"/>
      <c r="M204" s="25">
        <f>Tbl_2026[[#This Row],[Gross Wt.]]-(Tbl_2026[[#This Row],[Pskal]]+Tbl_2026[[#This Row],[Pack Wt.]])</f>
        <v>0</v>
      </c>
      <c r="N204" s="98"/>
      <c r="O204" s="25">
        <f>Tbl_2026[[#This Row],[Wt. Befor ratio]]*Tbl_2026[[#This Row],[Ratio]]</f>
        <v>0</v>
      </c>
      <c r="P204" s="25"/>
      <c r="Q204" s="25"/>
      <c r="R204" s="25"/>
      <c r="S204" s="25"/>
      <c r="T204" s="25"/>
      <c r="U204" s="25"/>
    </row>
    <row r="205" spans="1:21" x14ac:dyDescent="0.25">
      <c r="A205" s="25" t="str">
        <f t="shared" si="3"/>
        <v/>
      </c>
      <c r="B205" s="97"/>
      <c r="C205" s="205"/>
      <c r="D205" s="25"/>
      <c r="E205" s="25"/>
      <c r="F205" s="25"/>
      <c r="G205" s="25"/>
      <c r="H205" s="25"/>
      <c r="I205" s="25"/>
      <c r="J205" s="25"/>
      <c r="K205" s="25"/>
      <c r="L205" s="25"/>
      <c r="M205" s="25">
        <f>Tbl_2026[[#This Row],[Gross Wt.]]-(Tbl_2026[[#This Row],[Pskal]]+Tbl_2026[[#This Row],[Pack Wt.]])</f>
        <v>0</v>
      </c>
      <c r="N205" s="98"/>
      <c r="O205" s="25">
        <f>Tbl_2026[[#This Row],[Wt. Befor ratio]]*Tbl_2026[[#This Row],[Ratio]]</f>
        <v>0</v>
      </c>
      <c r="P205" s="25"/>
      <c r="Q205" s="25"/>
      <c r="R205" s="25"/>
      <c r="S205" s="25"/>
      <c r="T205" s="25"/>
      <c r="U205" s="25"/>
    </row>
    <row r="206" spans="1:21" x14ac:dyDescent="0.25">
      <c r="A206" s="25" t="str">
        <f t="shared" si="3"/>
        <v/>
      </c>
      <c r="B206" s="97"/>
      <c r="C206" s="205"/>
      <c r="D206" s="25"/>
      <c r="E206" s="25"/>
      <c r="F206" s="25"/>
      <c r="G206" s="25"/>
      <c r="H206" s="25"/>
      <c r="I206" s="25"/>
      <c r="J206" s="25"/>
      <c r="K206" s="25"/>
      <c r="L206" s="25"/>
      <c r="M206" s="25">
        <f>Tbl_2026[[#This Row],[Gross Wt.]]-(Tbl_2026[[#This Row],[Pskal]]+Tbl_2026[[#This Row],[Pack Wt.]])</f>
        <v>0</v>
      </c>
      <c r="N206" s="98"/>
      <c r="O206" s="25">
        <f>Tbl_2026[[#This Row],[Wt. Befor ratio]]*Tbl_2026[[#This Row],[Ratio]]</f>
        <v>0</v>
      </c>
      <c r="P206" s="25"/>
      <c r="Q206" s="25"/>
      <c r="R206" s="25"/>
      <c r="S206" s="25"/>
      <c r="T206" s="25"/>
      <c r="U206" s="25"/>
    </row>
    <row r="207" spans="1:21" x14ac:dyDescent="0.25">
      <c r="A207" s="25" t="str">
        <f t="shared" si="3"/>
        <v/>
      </c>
      <c r="B207" s="97"/>
      <c r="C207" s="205"/>
      <c r="D207" s="25"/>
      <c r="E207" s="25"/>
      <c r="F207" s="25"/>
      <c r="G207" s="25"/>
      <c r="H207" s="25"/>
      <c r="I207" s="25"/>
      <c r="J207" s="25"/>
      <c r="K207" s="25"/>
      <c r="L207" s="25"/>
      <c r="M207" s="25">
        <f>Tbl_2026[[#This Row],[Gross Wt.]]-(Tbl_2026[[#This Row],[Pskal]]+Tbl_2026[[#This Row],[Pack Wt.]])</f>
        <v>0</v>
      </c>
      <c r="N207" s="98"/>
      <c r="O207" s="25">
        <f>Tbl_2026[[#This Row],[Wt. Befor ratio]]*Tbl_2026[[#This Row],[Ratio]]</f>
        <v>0</v>
      </c>
      <c r="P207" s="25"/>
      <c r="Q207" s="25"/>
      <c r="R207" s="25"/>
      <c r="S207" s="25"/>
      <c r="T207" s="25"/>
      <c r="U207" s="25"/>
    </row>
    <row r="208" spans="1:21" x14ac:dyDescent="0.25">
      <c r="A208" s="25" t="str">
        <f t="shared" si="3"/>
        <v/>
      </c>
      <c r="B208" s="97"/>
      <c r="C208" s="205"/>
      <c r="D208" s="25"/>
      <c r="E208" s="25"/>
      <c r="F208" s="25"/>
      <c r="G208" s="25"/>
      <c r="H208" s="25"/>
      <c r="I208" s="25"/>
      <c r="J208" s="25"/>
      <c r="K208" s="25"/>
      <c r="L208" s="25"/>
      <c r="M208" s="25">
        <f>Tbl_2026[[#This Row],[Gross Wt.]]-(Tbl_2026[[#This Row],[Pskal]]+Tbl_2026[[#This Row],[Pack Wt.]])</f>
        <v>0</v>
      </c>
      <c r="N208" s="98"/>
      <c r="O208" s="25">
        <f>Tbl_2026[[#This Row],[Wt. Befor ratio]]*Tbl_2026[[#This Row],[Ratio]]</f>
        <v>0</v>
      </c>
      <c r="P208" s="25"/>
      <c r="Q208" s="25"/>
      <c r="R208" s="25"/>
      <c r="S208" s="25"/>
      <c r="T208" s="25"/>
      <c r="U208" s="25"/>
    </row>
    <row r="209" spans="1:21" x14ac:dyDescent="0.25">
      <c r="A209" s="25" t="str">
        <f t="shared" si="3"/>
        <v/>
      </c>
      <c r="B209" s="97"/>
      <c r="C209" s="205"/>
      <c r="D209" s="25"/>
      <c r="E209" s="25"/>
      <c r="F209" s="25"/>
      <c r="G209" s="25"/>
      <c r="H209" s="25"/>
      <c r="I209" s="25"/>
      <c r="J209" s="25"/>
      <c r="K209" s="25"/>
      <c r="L209" s="25"/>
      <c r="M209" s="25">
        <f>Tbl_2026[[#This Row],[Gross Wt.]]-(Tbl_2026[[#This Row],[Pskal]]+Tbl_2026[[#This Row],[Pack Wt.]])</f>
        <v>0</v>
      </c>
      <c r="N209" s="98"/>
      <c r="O209" s="25">
        <f>Tbl_2026[[#This Row],[Wt. Befor ratio]]*Tbl_2026[[#This Row],[Ratio]]</f>
        <v>0</v>
      </c>
      <c r="P209" s="25"/>
      <c r="Q209" s="25"/>
      <c r="R209" s="25"/>
      <c r="S209" s="25"/>
      <c r="T209" s="25"/>
      <c r="U209" s="25"/>
    </row>
    <row r="210" spans="1:21" x14ac:dyDescent="0.25">
      <c r="A210" s="25" t="str">
        <f t="shared" si="3"/>
        <v/>
      </c>
      <c r="B210" s="97"/>
      <c r="C210" s="205"/>
      <c r="D210" s="25"/>
      <c r="E210" s="25"/>
      <c r="F210" s="25"/>
      <c r="G210" s="25"/>
      <c r="H210" s="25"/>
      <c r="I210" s="25"/>
      <c r="J210" s="25"/>
      <c r="K210" s="25"/>
      <c r="L210" s="25"/>
      <c r="M210" s="25">
        <f>Tbl_2026[[#This Row],[Gross Wt.]]-(Tbl_2026[[#This Row],[Pskal]]+Tbl_2026[[#This Row],[Pack Wt.]])</f>
        <v>0</v>
      </c>
      <c r="N210" s="98"/>
      <c r="O210" s="25">
        <f>Tbl_2026[[#This Row],[Wt. Befor ratio]]*Tbl_2026[[#This Row],[Ratio]]</f>
        <v>0</v>
      </c>
      <c r="P210" s="25"/>
      <c r="Q210" s="25"/>
      <c r="R210" s="25"/>
      <c r="S210" s="25"/>
      <c r="T210" s="25"/>
      <c r="U210" s="25"/>
    </row>
    <row r="211" spans="1:21" x14ac:dyDescent="0.25">
      <c r="A211" s="25" t="str">
        <f t="shared" si="3"/>
        <v/>
      </c>
      <c r="B211" s="97"/>
      <c r="C211" s="205"/>
      <c r="D211" s="25"/>
      <c r="E211" s="25"/>
      <c r="F211" s="25"/>
      <c r="G211" s="25"/>
      <c r="H211" s="25"/>
      <c r="I211" s="25"/>
      <c r="J211" s="25"/>
      <c r="K211" s="25"/>
      <c r="L211" s="25"/>
      <c r="M211" s="25">
        <f>Tbl_2026[[#This Row],[Gross Wt.]]-(Tbl_2026[[#This Row],[Pskal]]+Tbl_2026[[#This Row],[Pack Wt.]])</f>
        <v>0</v>
      </c>
      <c r="N211" s="98"/>
      <c r="O211" s="25">
        <f>Tbl_2026[[#This Row],[Wt. Befor ratio]]*Tbl_2026[[#This Row],[Ratio]]</f>
        <v>0</v>
      </c>
      <c r="P211" s="25"/>
      <c r="Q211" s="25"/>
      <c r="R211" s="25"/>
      <c r="S211" s="25"/>
      <c r="T211" s="25"/>
      <c r="U211" s="25"/>
    </row>
    <row r="212" spans="1:21" x14ac:dyDescent="0.25">
      <c r="A212" s="25" t="str">
        <f t="shared" si="3"/>
        <v/>
      </c>
      <c r="B212" s="97"/>
      <c r="C212" s="205"/>
      <c r="D212" s="25"/>
      <c r="E212" s="25"/>
      <c r="F212" s="25"/>
      <c r="G212" s="25"/>
      <c r="H212" s="25"/>
      <c r="I212" s="25"/>
      <c r="J212" s="25"/>
      <c r="K212" s="25"/>
      <c r="L212" s="25"/>
      <c r="M212" s="25">
        <f>Tbl_2026[[#This Row],[Gross Wt.]]-(Tbl_2026[[#This Row],[Pskal]]+Tbl_2026[[#This Row],[Pack Wt.]])</f>
        <v>0</v>
      </c>
      <c r="N212" s="98"/>
      <c r="O212" s="25">
        <f>Tbl_2026[[#This Row],[Wt. Befor ratio]]*Tbl_2026[[#This Row],[Ratio]]</f>
        <v>0</v>
      </c>
      <c r="P212" s="25"/>
      <c r="Q212" s="25"/>
      <c r="R212" s="25"/>
      <c r="S212" s="25"/>
      <c r="T212" s="25"/>
      <c r="U212" s="25"/>
    </row>
    <row r="213" spans="1:21" x14ac:dyDescent="0.25">
      <c r="A213" s="25" t="str">
        <f t="shared" si="3"/>
        <v/>
      </c>
      <c r="B213" s="97"/>
      <c r="C213" s="205"/>
      <c r="D213" s="25"/>
      <c r="E213" s="25"/>
      <c r="F213" s="25"/>
      <c r="G213" s="25"/>
      <c r="H213" s="25"/>
      <c r="I213" s="25"/>
      <c r="J213" s="25"/>
      <c r="K213" s="25"/>
      <c r="L213" s="25"/>
      <c r="M213" s="25">
        <f>Tbl_2026[[#This Row],[Gross Wt.]]-(Tbl_2026[[#This Row],[Pskal]]+Tbl_2026[[#This Row],[Pack Wt.]])</f>
        <v>0</v>
      </c>
      <c r="N213" s="98"/>
      <c r="O213" s="25">
        <f>Tbl_2026[[#This Row],[Wt. Befor ratio]]*Tbl_2026[[#This Row],[Ratio]]</f>
        <v>0</v>
      </c>
      <c r="P213" s="25"/>
      <c r="Q213" s="25"/>
      <c r="R213" s="25"/>
      <c r="S213" s="25"/>
      <c r="T213" s="25"/>
      <c r="U213" s="25"/>
    </row>
    <row r="214" spans="1:21" x14ac:dyDescent="0.25">
      <c r="A214" s="25" t="str">
        <f t="shared" si="3"/>
        <v/>
      </c>
      <c r="B214" s="97"/>
      <c r="C214" s="205"/>
      <c r="D214" s="25"/>
      <c r="E214" s="25"/>
      <c r="F214" s="25"/>
      <c r="G214" s="25"/>
      <c r="H214" s="25"/>
      <c r="I214" s="25"/>
      <c r="J214" s="25"/>
      <c r="K214" s="25"/>
      <c r="L214" s="25"/>
      <c r="M214" s="25">
        <f>Tbl_2026[[#This Row],[Gross Wt.]]-(Tbl_2026[[#This Row],[Pskal]]+Tbl_2026[[#This Row],[Pack Wt.]])</f>
        <v>0</v>
      </c>
      <c r="N214" s="98"/>
      <c r="O214" s="25">
        <f>Tbl_2026[[#This Row],[Wt. Befor ratio]]*Tbl_2026[[#This Row],[Ratio]]</f>
        <v>0</v>
      </c>
      <c r="P214" s="25"/>
      <c r="Q214" s="25"/>
      <c r="R214" s="25"/>
      <c r="S214" s="25"/>
      <c r="T214" s="25"/>
      <c r="U214" s="25"/>
    </row>
    <row r="215" spans="1:21" x14ac:dyDescent="0.25">
      <c r="A215" s="25" t="str">
        <f t="shared" si="3"/>
        <v/>
      </c>
      <c r="B215" s="97"/>
      <c r="C215" s="205"/>
      <c r="D215" s="25"/>
      <c r="E215" s="25"/>
      <c r="F215" s="25"/>
      <c r="G215" s="25"/>
      <c r="H215" s="25"/>
      <c r="I215" s="25"/>
      <c r="J215" s="25"/>
      <c r="K215" s="25"/>
      <c r="L215" s="25"/>
      <c r="M215" s="25">
        <f>Tbl_2026[[#This Row],[Gross Wt.]]-(Tbl_2026[[#This Row],[Pskal]]+Tbl_2026[[#This Row],[Pack Wt.]])</f>
        <v>0</v>
      </c>
      <c r="N215" s="98"/>
      <c r="O215" s="25">
        <f>Tbl_2026[[#This Row],[Wt. Befor ratio]]*Tbl_2026[[#This Row],[Ratio]]</f>
        <v>0</v>
      </c>
      <c r="P215" s="25"/>
      <c r="Q215" s="25"/>
      <c r="R215" s="25"/>
      <c r="S215" s="25"/>
      <c r="T215" s="25"/>
      <c r="U215" s="25"/>
    </row>
    <row r="216" spans="1:21" x14ac:dyDescent="0.25">
      <c r="A216" s="25" t="str">
        <f t="shared" si="3"/>
        <v/>
      </c>
      <c r="B216" s="97"/>
      <c r="C216" s="205"/>
      <c r="D216" s="25"/>
      <c r="E216" s="25"/>
      <c r="F216" s="25"/>
      <c r="G216" s="25"/>
      <c r="H216" s="25"/>
      <c r="I216" s="25"/>
      <c r="J216" s="25"/>
      <c r="K216" s="25"/>
      <c r="L216" s="25"/>
      <c r="M216" s="25">
        <f>Tbl_2026[[#This Row],[Gross Wt.]]-(Tbl_2026[[#This Row],[Pskal]]+Tbl_2026[[#This Row],[Pack Wt.]])</f>
        <v>0</v>
      </c>
      <c r="N216" s="98"/>
      <c r="O216" s="25">
        <f>Tbl_2026[[#This Row],[Wt. Befor ratio]]*Tbl_2026[[#This Row],[Ratio]]</f>
        <v>0</v>
      </c>
      <c r="P216" s="25"/>
      <c r="Q216" s="25"/>
      <c r="R216" s="25"/>
      <c r="S216" s="25"/>
      <c r="T216" s="25"/>
      <c r="U216" s="25"/>
    </row>
    <row r="217" spans="1:21" x14ac:dyDescent="0.25">
      <c r="A217" s="25" t="str">
        <f t="shared" si="3"/>
        <v/>
      </c>
      <c r="B217" s="97"/>
      <c r="C217" s="205"/>
      <c r="D217" s="25"/>
      <c r="E217" s="25"/>
      <c r="F217" s="25"/>
      <c r="G217" s="25"/>
      <c r="H217" s="25"/>
      <c r="I217" s="25"/>
      <c r="J217" s="25"/>
      <c r="K217" s="25"/>
      <c r="L217" s="25"/>
      <c r="M217" s="25">
        <f>Tbl_2026[[#This Row],[Gross Wt.]]-(Tbl_2026[[#This Row],[Pskal]]+Tbl_2026[[#This Row],[Pack Wt.]])</f>
        <v>0</v>
      </c>
      <c r="N217" s="98"/>
      <c r="O217" s="25">
        <f>Tbl_2026[[#This Row],[Wt. Befor ratio]]*Tbl_2026[[#This Row],[Ratio]]</f>
        <v>0</v>
      </c>
      <c r="P217" s="25"/>
      <c r="Q217" s="25"/>
      <c r="R217" s="25"/>
      <c r="S217" s="25"/>
      <c r="T217" s="25"/>
      <c r="U217" s="25"/>
    </row>
    <row r="218" spans="1:21" x14ac:dyDescent="0.25">
      <c r="A218" s="25" t="str">
        <f t="shared" si="3"/>
        <v/>
      </c>
      <c r="B218" s="97"/>
      <c r="C218" s="205"/>
      <c r="D218" s="25"/>
      <c r="E218" s="25"/>
      <c r="F218" s="25"/>
      <c r="G218" s="25"/>
      <c r="H218" s="25"/>
      <c r="I218" s="25"/>
      <c r="J218" s="25"/>
      <c r="K218" s="25"/>
      <c r="L218" s="25"/>
      <c r="M218" s="25">
        <f>Tbl_2026[[#This Row],[Gross Wt.]]-(Tbl_2026[[#This Row],[Pskal]]+Tbl_2026[[#This Row],[Pack Wt.]])</f>
        <v>0</v>
      </c>
      <c r="N218" s="98"/>
      <c r="O218" s="25">
        <f>Tbl_2026[[#This Row],[Wt. Befor ratio]]*Tbl_2026[[#This Row],[Ratio]]</f>
        <v>0</v>
      </c>
      <c r="P218" s="25"/>
      <c r="Q218" s="25"/>
      <c r="R218" s="25"/>
      <c r="S218" s="25"/>
      <c r="T218" s="25"/>
      <c r="U218" s="25"/>
    </row>
    <row r="219" spans="1:21" x14ac:dyDescent="0.25">
      <c r="A219" s="25" t="str">
        <f t="shared" si="3"/>
        <v/>
      </c>
      <c r="B219" s="97"/>
      <c r="C219" s="205"/>
      <c r="D219" s="25"/>
      <c r="E219" s="25"/>
      <c r="F219" s="25"/>
      <c r="G219" s="25"/>
      <c r="H219" s="25"/>
      <c r="I219" s="25"/>
      <c r="J219" s="25"/>
      <c r="K219" s="25"/>
      <c r="L219" s="25"/>
      <c r="M219" s="25">
        <f>Tbl_2026[[#This Row],[Gross Wt.]]-(Tbl_2026[[#This Row],[Pskal]]+Tbl_2026[[#This Row],[Pack Wt.]])</f>
        <v>0</v>
      </c>
      <c r="N219" s="98"/>
      <c r="O219" s="25">
        <f>Tbl_2026[[#This Row],[Wt. Befor ratio]]*Tbl_2026[[#This Row],[Ratio]]</f>
        <v>0</v>
      </c>
      <c r="P219" s="25"/>
      <c r="Q219" s="25"/>
      <c r="R219" s="25"/>
      <c r="S219" s="25"/>
      <c r="T219" s="25"/>
      <c r="U219" s="25"/>
    </row>
    <row r="220" spans="1:21" x14ac:dyDescent="0.25">
      <c r="A220" s="25" t="str">
        <f t="shared" si="3"/>
        <v/>
      </c>
      <c r="B220" s="97"/>
      <c r="C220" s="205"/>
      <c r="D220" s="25"/>
      <c r="E220" s="25"/>
      <c r="F220" s="25"/>
      <c r="G220" s="25"/>
      <c r="H220" s="25"/>
      <c r="I220" s="25"/>
      <c r="J220" s="25"/>
      <c r="K220" s="25"/>
      <c r="L220" s="25"/>
      <c r="M220" s="25">
        <f>Tbl_2026[[#This Row],[Gross Wt.]]-(Tbl_2026[[#This Row],[Pskal]]+Tbl_2026[[#This Row],[Pack Wt.]])</f>
        <v>0</v>
      </c>
      <c r="N220" s="98"/>
      <c r="O220" s="25">
        <f>Tbl_2026[[#This Row],[Wt. Befor ratio]]*Tbl_2026[[#This Row],[Ratio]]</f>
        <v>0</v>
      </c>
      <c r="P220" s="25"/>
      <c r="Q220" s="25"/>
      <c r="R220" s="25"/>
      <c r="S220" s="25"/>
      <c r="T220" s="25"/>
      <c r="U220" s="25"/>
    </row>
    <row r="221" spans="1:21" x14ac:dyDescent="0.25">
      <c r="A221" s="25" t="str">
        <f t="shared" si="3"/>
        <v/>
      </c>
      <c r="B221" s="97"/>
      <c r="C221" s="205"/>
      <c r="D221" s="25"/>
      <c r="E221" s="25"/>
      <c r="F221" s="25"/>
      <c r="G221" s="25"/>
      <c r="H221" s="25"/>
      <c r="I221" s="25"/>
      <c r="J221" s="25"/>
      <c r="K221" s="25"/>
      <c r="L221" s="25"/>
      <c r="M221" s="25">
        <f>Tbl_2026[[#This Row],[Gross Wt.]]-(Tbl_2026[[#This Row],[Pskal]]+Tbl_2026[[#This Row],[Pack Wt.]])</f>
        <v>0</v>
      </c>
      <c r="N221" s="98"/>
      <c r="O221" s="25">
        <f>Tbl_2026[[#This Row],[Wt. Befor ratio]]*Tbl_2026[[#This Row],[Ratio]]</f>
        <v>0</v>
      </c>
      <c r="P221" s="25"/>
      <c r="Q221" s="25"/>
      <c r="R221" s="25"/>
      <c r="S221" s="25"/>
      <c r="T221" s="25"/>
      <c r="U221" s="25"/>
    </row>
    <row r="222" spans="1:21" x14ac:dyDescent="0.25">
      <c r="A222" s="25" t="str">
        <f t="shared" si="3"/>
        <v/>
      </c>
      <c r="B222" s="97"/>
      <c r="C222" s="205"/>
      <c r="D222" s="25"/>
      <c r="E222" s="25"/>
      <c r="F222" s="25"/>
      <c r="G222" s="25"/>
      <c r="H222" s="25"/>
      <c r="I222" s="25"/>
      <c r="J222" s="25"/>
      <c r="K222" s="25"/>
      <c r="L222" s="25"/>
      <c r="M222" s="25">
        <f>Tbl_2026[[#This Row],[Gross Wt.]]-(Tbl_2026[[#This Row],[Pskal]]+Tbl_2026[[#This Row],[Pack Wt.]])</f>
        <v>0</v>
      </c>
      <c r="N222" s="98"/>
      <c r="O222" s="25">
        <f>Tbl_2026[[#This Row],[Wt. Befor ratio]]*Tbl_2026[[#This Row],[Ratio]]</f>
        <v>0</v>
      </c>
      <c r="P222" s="25"/>
      <c r="Q222" s="25"/>
      <c r="R222" s="25"/>
      <c r="S222" s="25"/>
      <c r="T222" s="25"/>
      <c r="U222" s="25"/>
    </row>
    <row r="223" spans="1:21" x14ac:dyDescent="0.25">
      <c r="A223" s="25" t="str">
        <f t="shared" si="3"/>
        <v/>
      </c>
      <c r="B223" s="97"/>
      <c r="C223" s="205"/>
      <c r="D223" s="25"/>
      <c r="E223" s="25"/>
      <c r="F223" s="25"/>
      <c r="G223" s="25"/>
      <c r="H223" s="25"/>
      <c r="I223" s="25"/>
      <c r="J223" s="25"/>
      <c r="K223" s="25"/>
      <c r="L223" s="25"/>
      <c r="M223" s="25">
        <f>Tbl_2026[[#This Row],[Gross Wt.]]-(Tbl_2026[[#This Row],[Pskal]]+Tbl_2026[[#This Row],[Pack Wt.]])</f>
        <v>0</v>
      </c>
      <c r="N223" s="98"/>
      <c r="O223" s="25">
        <f>Tbl_2026[[#This Row],[Wt. Befor ratio]]*Tbl_2026[[#This Row],[Ratio]]</f>
        <v>0</v>
      </c>
      <c r="P223" s="25"/>
      <c r="Q223" s="25"/>
      <c r="R223" s="25"/>
      <c r="S223" s="25"/>
      <c r="T223" s="25"/>
      <c r="U223" s="25"/>
    </row>
    <row r="224" spans="1:21" x14ac:dyDescent="0.25">
      <c r="A224" s="25" t="str">
        <f t="shared" si="3"/>
        <v/>
      </c>
      <c r="B224" s="97"/>
      <c r="C224" s="205"/>
      <c r="D224" s="25"/>
      <c r="E224" s="25"/>
      <c r="F224" s="25"/>
      <c r="G224" s="25"/>
      <c r="H224" s="25"/>
      <c r="I224" s="25"/>
      <c r="J224" s="25"/>
      <c r="K224" s="25"/>
      <c r="L224" s="25"/>
      <c r="M224" s="25">
        <f>Tbl_2026[[#This Row],[Gross Wt.]]-(Tbl_2026[[#This Row],[Pskal]]+Tbl_2026[[#This Row],[Pack Wt.]])</f>
        <v>0</v>
      </c>
      <c r="N224" s="98"/>
      <c r="O224" s="25">
        <f>Tbl_2026[[#This Row],[Wt. Befor ratio]]*Tbl_2026[[#This Row],[Ratio]]</f>
        <v>0</v>
      </c>
      <c r="P224" s="25"/>
      <c r="Q224" s="25"/>
      <c r="R224" s="25"/>
      <c r="S224" s="25"/>
      <c r="T224" s="25"/>
      <c r="U224" s="25"/>
    </row>
    <row r="225" spans="1:21" x14ac:dyDescent="0.25">
      <c r="A225" s="25" t="str">
        <f t="shared" si="3"/>
        <v/>
      </c>
      <c r="B225" s="97"/>
      <c r="C225" s="205"/>
      <c r="D225" s="25"/>
      <c r="E225" s="25"/>
      <c r="F225" s="25"/>
      <c r="G225" s="25"/>
      <c r="H225" s="25"/>
      <c r="I225" s="25"/>
      <c r="J225" s="25"/>
      <c r="K225" s="25"/>
      <c r="L225" s="25"/>
      <c r="M225" s="25">
        <f>Tbl_2026[[#This Row],[Gross Wt.]]-(Tbl_2026[[#This Row],[Pskal]]+Tbl_2026[[#This Row],[Pack Wt.]])</f>
        <v>0</v>
      </c>
      <c r="N225" s="98"/>
      <c r="O225" s="25">
        <f>Tbl_2026[[#This Row],[Wt. Befor ratio]]*Tbl_2026[[#This Row],[Ratio]]</f>
        <v>0</v>
      </c>
      <c r="P225" s="25"/>
      <c r="Q225" s="25"/>
      <c r="R225" s="25"/>
      <c r="S225" s="25"/>
      <c r="T225" s="25"/>
      <c r="U225" s="25"/>
    </row>
    <row r="226" spans="1:21" x14ac:dyDescent="0.25">
      <c r="A226" s="25" t="str">
        <f t="shared" si="3"/>
        <v/>
      </c>
      <c r="B226" s="97"/>
      <c r="C226" s="205"/>
      <c r="D226" s="25"/>
      <c r="E226" s="25"/>
      <c r="F226" s="25"/>
      <c r="G226" s="25"/>
      <c r="H226" s="25"/>
      <c r="I226" s="25"/>
      <c r="J226" s="25"/>
      <c r="K226" s="25"/>
      <c r="L226" s="25"/>
      <c r="M226" s="25">
        <f>Tbl_2026[[#This Row],[Gross Wt.]]-(Tbl_2026[[#This Row],[Pskal]]+Tbl_2026[[#This Row],[Pack Wt.]])</f>
        <v>0</v>
      </c>
      <c r="N226" s="98"/>
      <c r="O226" s="25">
        <f>Tbl_2026[[#This Row],[Wt. Befor ratio]]*Tbl_2026[[#This Row],[Ratio]]</f>
        <v>0</v>
      </c>
      <c r="P226" s="25"/>
      <c r="Q226" s="25"/>
      <c r="R226" s="25"/>
      <c r="S226" s="25"/>
      <c r="T226" s="25"/>
      <c r="U226" s="25"/>
    </row>
    <row r="227" spans="1:21" x14ac:dyDescent="0.25">
      <c r="A227" s="25" t="str">
        <f t="shared" si="3"/>
        <v/>
      </c>
      <c r="B227" s="97"/>
      <c r="C227" s="205"/>
      <c r="D227" s="25"/>
      <c r="E227" s="25"/>
      <c r="F227" s="25"/>
      <c r="G227" s="25"/>
      <c r="H227" s="25"/>
      <c r="I227" s="25"/>
      <c r="J227" s="25"/>
      <c r="K227" s="25"/>
      <c r="L227" s="25"/>
      <c r="M227" s="25">
        <f>Tbl_2026[[#This Row],[Gross Wt.]]-(Tbl_2026[[#This Row],[Pskal]]+Tbl_2026[[#This Row],[Pack Wt.]])</f>
        <v>0</v>
      </c>
      <c r="N227" s="98"/>
      <c r="O227" s="25">
        <f>Tbl_2026[[#This Row],[Wt. Befor ratio]]*Tbl_2026[[#This Row],[Ratio]]</f>
        <v>0</v>
      </c>
      <c r="P227" s="25"/>
      <c r="Q227" s="25"/>
      <c r="R227" s="25"/>
      <c r="S227" s="25"/>
      <c r="T227" s="25"/>
      <c r="U227" s="25"/>
    </row>
    <row r="228" spans="1:21" x14ac:dyDescent="0.25">
      <c r="A228" s="25" t="str">
        <f t="shared" si="3"/>
        <v/>
      </c>
      <c r="B228" s="97"/>
      <c r="C228" s="205"/>
      <c r="D228" s="25"/>
      <c r="E228" s="25"/>
      <c r="F228" s="25"/>
      <c r="G228" s="25"/>
      <c r="H228" s="25"/>
      <c r="I228" s="25"/>
      <c r="J228" s="25"/>
      <c r="K228" s="25"/>
      <c r="L228" s="25"/>
      <c r="M228" s="25">
        <f>Tbl_2026[[#This Row],[Gross Wt.]]-(Tbl_2026[[#This Row],[Pskal]]+Tbl_2026[[#This Row],[Pack Wt.]])</f>
        <v>0</v>
      </c>
      <c r="N228" s="98"/>
      <c r="O228" s="25">
        <f>Tbl_2026[[#This Row],[Wt. Befor ratio]]*Tbl_2026[[#This Row],[Ratio]]</f>
        <v>0</v>
      </c>
      <c r="P228" s="25"/>
      <c r="Q228" s="25"/>
      <c r="R228" s="25"/>
      <c r="S228" s="25"/>
      <c r="T228" s="25"/>
      <c r="U228" s="25"/>
    </row>
    <row r="229" spans="1:21" x14ac:dyDescent="0.25">
      <c r="A229" s="25" t="str">
        <f t="shared" si="3"/>
        <v/>
      </c>
      <c r="B229" s="97"/>
      <c r="C229" s="205"/>
      <c r="D229" s="25"/>
      <c r="E229" s="25"/>
      <c r="F229" s="25"/>
      <c r="G229" s="25"/>
      <c r="H229" s="25"/>
      <c r="I229" s="25"/>
      <c r="J229" s="25"/>
      <c r="K229" s="25"/>
      <c r="L229" s="25"/>
      <c r="M229" s="25">
        <f>Tbl_2026[[#This Row],[Gross Wt.]]-(Tbl_2026[[#This Row],[Pskal]]+Tbl_2026[[#This Row],[Pack Wt.]])</f>
        <v>0</v>
      </c>
      <c r="N229" s="98"/>
      <c r="O229" s="25">
        <f>Tbl_2026[[#This Row],[Wt. Befor ratio]]*Tbl_2026[[#This Row],[Ratio]]</f>
        <v>0</v>
      </c>
      <c r="P229" s="25"/>
      <c r="Q229" s="25"/>
      <c r="R229" s="25"/>
      <c r="S229" s="25"/>
      <c r="T229" s="25"/>
      <c r="U229" s="25"/>
    </row>
    <row r="230" spans="1:21" x14ac:dyDescent="0.25">
      <c r="A230" s="25" t="str">
        <f t="shared" si="3"/>
        <v/>
      </c>
      <c r="B230" s="97"/>
      <c r="C230" s="205"/>
      <c r="D230" s="25"/>
      <c r="E230" s="25"/>
      <c r="F230" s="25"/>
      <c r="G230" s="25"/>
      <c r="H230" s="25"/>
      <c r="I230" s="25"/>
      <c r="J230" s="25"/>
      <c r="K230" s="25"/>
      <c r="L230" s="25"/>
      <c r="M230" s="25">
        <f>Tbl_2026[[#This Row],[Gross Wt.]]-(Tbl_2026[[#This Row],[Pskal]]+Tbl_2026[[#This Row],[Pack Wt.]])</f>
        <v>0</v>
      </c>
      <c r="N230" s="98"/>
      <c r="O230" s="25">
        <f>Tbl_2026[[#This Row],[Wt. Befor ratio]]*Tbl_2026[[#This Row],[Ratio]]</f>
        <v>0</v>
      </c>
      <c r="P230" s="25"/>
      <c r="Q230" s="25"/>
      <c r="R230" s="25"/>
      <c r="S230" s="25"/>
      <c r="T230" s="25"/>
      <c r="U230" s="25"/>
    </row>
    <row r="231" spans="1:21" x14ac:dyDescent="0.25">
      <c r="A231" s="25" t="str">
        <f t="shared" si="3"/>
        <v/>
      </c>
      <c r="B231" s="97"/>
      <c r="C231" s="205"/>
      <c r="D231" s="25"/>
      <c r="E231" s="25"/>
      <c r="F231" s="25"/>
      <c r="G231" s="25"/>
      <c r="H231" s="25"/>
      <c r="I231" s="25"/>
      <c r="J231" s="25"/>
      <c r="K231" s="25"/>
      <c r="L231" s="25"/>
      <c r="M231" s="25">
        <f>Tbl_2026[[#This Row],[Gross Wt.]]-(Tbl_2026[[#This Row],[Pskal]]+Tbl_2026[[#This Row],[Pack Wt.]])</f>
        <v>0</v>
      </c>
      <c r="N231" s="98"/>
      <c r="O231" s="25">
        <f>Tbl_2026[[#This Row],[Wt. Befor ratio]]*Tbl_2026[[#This Row],[Ratio]]</f>
        <v>0</v>
      </c>
      <c r="P231" s="25"/>
      <c r="Q231" s="25"/>
      <c r="R231" s="25"/>
      <c r="S231" s="25"/>
      <c r="T231" s="25"/>
      <c r="U231" s="25"/>
    </row>
    <row r="232" spans="1:21" x14ac:dyDescent="0.25">
      <c r="A232" s="25" t="str">
        <f t="shared" si="3"/>
        <v/>
      </c>
      <c r="B232" s="97"/>
      <c r="C232" s="205"/>
      <c r="D232" s="25"/>
      <c r="E232" s="25"/>
      <c r="F232" s="25"/>
      <c r="G232" s="25"/>
      <c r="H232" s="25"/>
      <c r="I232" s="25"/>
      <c r="J232" s="25"/>
      <c r="K232" s="25"/>
      <c r="L232" s="25"/>
      <c r="M232" s="25">
        <f>Tbl_2026[[#This Row],[Gross Wt.]]-(Tbl_2026[[#This Row],[Pskal]]+Tbl_2026[[#This Row],[Pack Wt.]])</f>
        <v>0</v>
      </c>
      <c r="N232" s="98"/>
      <c r="O232" s="25">
        <f>Tbl_2026[[#This Row],[Wt. Befor ratio]]*Tbl_2026[[#This Row],[Ratio]]</f>
        <v>0</v>
      </c>
      <c r="P232" s="25"/>
      <c r="Q232" s="25"/>
      <c r="R232" s="25"/>
      <c r="S232" s="25"/>
      <c r="T232" s="25"/>
      <c r="U232" s="25"/>
    </row>
    <row r="233" spans="1:21" x14ac:dyDescent="0.25">
      <c r="A233" s="25" t="str">
        <f t="shared" si="3"/>
        <v/>
      </c>
      <c r="B233" s="97"/>
      <c r="C233" s="205"/>
      <c r="D233" s="25"/>
      <c r="E233" s="25"/>
      <c r="F233" s="25"/>
      <c r="G233" s="25"/>
      <c r="H233" s="25"/>
      <c r="I233" s="25"/>
      <c r="J233" s="25"/>
      <c r="K233" s="25"/>
      <c r="L233" s="25"/>
      <c r="M233" s="25">
        <f>Tbl_2026[[#This Row],[Gross Wt.]]-(Tbl_2026[[#This Row],[Pskal]]+Tbl_2026[[#This Row],[Pack Wt.]])</f>
        <v>0</v>
      </c>
      <c r="N233" s="98"/>
      <c r="O233" s="25">
        <f>Tbl_2026[[#This Row],[Wt. Befor ratio]]*Tbl_2026[[#This Row],[Ratio]]</f>
        <v>0</v>
      </c>
      <c r="P233" s="25"/>
      <c r="Q233" s="25"/>
      <c r="R233" s="25"/>
      <c r="S233" s="25"/>
      <c r="T233" s="25"/>
      <c r="U233" s="25"/>
    </row>
    <row r="234" spans="1:21" x14ac:dyDescent="0.25">
      <c r="A234" s="25" t="str">
        <f t="shared" si="3"/>
        <v/>
      </c>
      <c r="B234" s="97"/>
      <c r="C234" s="205"/>
      <c r="D234" s="25"/>
      <c r="E234" s="25"/>
      <c r="F234" s="25"/>
      <c r="G234" s="25"/>
      <c r="H234" s="25"/>
      <c r="I234" s="25"/>
      <c r="J234" s="25"/>
      <c r="K234" s="25"/>
      <c r="L234" s="25"/>
      <c r="M234" s="25">
        <f>Tbl_2026[[#This Row],[Gross Wt.]]-(Tbl_2026[[#This Row],[Pskal]]+Tbl_2026[[#This Row],[Pack Wt.]])</f>
        <v>0</v>
      </c>
      <c r="N234" s="98"/>
      <c r="O234" s="25">
        <f>Tbl_2026[[#This Row],[Wt. Befor ratio]]*Tbl_2026[[#This Row],[Ratio]]</f>
        <v>0</v>
      </c>
      <c r="P234" s="25"/>
      <c r="Q234" s="25"/>
      <c r="R234" s="25"/>
      <c r="S234" s="25"/>
      <c r="T234" s="25"/>
      <c r="U234" s="25"/>
    </row>
    <row r="235" spans="1:21" x14ac:dyDescent="0.25">
      <c r="A235" s="25" t="str">
        <f t="shared" si="3"/>
        <v/>
      </c>
      <c r="B235" s="97"/>
      <c r="C235" s="205"/>
      <c r="D235" s="25"/>
      <c r="E235" s="25"/>
      <c r="F235" s="25"/>
      <c r="G235" s="25"/>
      <c r="H235" s="25"/>
      <c r="I235" s="25"/>
      <c r="J235" s="25"/>
      <c r="K235" s="25"/>
      <c r="L235" s="25"/>
      <c r="M235" s="25">
        <f>Tbl_2026[[#This Row],[Gross Wt.]]-(Tbl_2026[[#This Row],[Pskal]]+Tbl_2026[[#This Row],[Pack Wt.]])</f>
        <v>0</v>
      </c>
      <c r="N235" s="98"/>
      <c r="O235" s="25">
        <f>Tbl_2026[[#This Row],[Wt. Befor ratio]]*Tbl_2026[[#This Row],[Ratio]]</f>
        <v>0</v>
      </c>
      <c r="P235" s="25"/>
      <c r="Q235" s="25"/>
      <c r="R235" s="25"/>
      <c r="S235" s="25"/>
      <c r="T235" s="25"/>
      <c r="U235" s="25"/>
    </row>
    <row r="236" spans="1:21" x14ac:dyDescent="0.25">
      <c r="A236" s="25" t="str">
        <f t="shared" si="3"/>
        <v/>
      </c>
      <c r="B236" s="97"/>
      <c r="C236" s="205"/>
      <c r="D236" s="25"/>
      <c r="E236" s="25"/>
      <c r="F236" s="25"/>
      <c r="G236" s="25"/>
      <c r="H236" s="25"/>
      <c r="I236" s="25"/>
      <c r="J236" s="25"/>
      <c r="K236" s="25"/>
      <c r="L236" s="25"/>
      <c r="M236" s="25">
        <f>Tbl_2026[[#This Row],[Gross Wt.]]-(Tbl_2026[[#This Row],[Pskal]]+Tbl_2026[[#This Row],[Pack Wt.]])</f>
        <v>0</v>
      </c>
      <c r="N236" s="98"/>
      <c r="O236" s="25">
        <f>Tbl_2026[[#This Row],[Wt. Befor ratio]]*Tbl_2026[[#This Row],[Ratio]]</f>
        <v>0</v>
      </c>
      <c r="P236" s="25"/>
      <c r="Q236" s="25"/>
      <c r="R236" s="25"/>
      <c r="S236" s="25"/>
      <c r="T236" s="25"/>
      <c r="U236" s="25"/>
    </row>
    <row r="237" spans="1:21" x14ac:dyDescent="0.25">
      <c r="A237" s="25" t="str">
        <f t="shared" si="3"/>
        <v/>
      </c>
      <c r="B237" s="97"/>
      <c r="C237" s="205"/>
      <c r="D237" s="25"/>
      <c r="E237" s="25"/>
      <c r="F237" s="25"/>
      <c r="G237" s="25"/>
      <c r="H237" s="25"/>
      <c r="I237" s="25"/>
      <c r="J237" s="25"/>
      <c r="K237" s="25"/>
      <c r="L237" s="25"/>
      <c r="M237" s="25">
        <f>Tbl_2026[[#This Row],[Gross Wt.]]-(Tbl_2026[[#This Row],[Pskal]]+Tbl_2026[[#This Row],[Pack Wt.]])</f>
        <v>0</v>
      </c>
      <c r="N237" s="98"/>
      <c r="O237" s="25">
        <f>Tbl_2026[[#This Row],[Wt. Befor ratio]]*Tbl_2026[[#This Row],[Ratio]]</f>
        <v>0</v>
      </c>
      <c r="P237" s="25"/>
      <c r="Q237" s="25"/>
      <c r="R237" s="25"/>
      <c r="S237" s="25"/>
      <c r="T237" s="25"/>
      <c r="U237" s="25"/>
    </row>
    <row r="238" spans="1:21" x14ac:dyDescent="0.25">
      <c r="A238" s="25" t="str">
        <f t="shared" si="3"/>
        <v/>
      </c>
      <c r="B238" s="97"/>
      <c r="C238" s="205"/>
      <c r="D238" s="25"/>
      <c r="E238" s="25"/>
      <c r="F238" s="25"/>
      <c r="G238" s="25"/>
      <c r="H238" s="25"/>
      <c r="I238" s="25"/>
      <c r="J238" s="25"/>
      <c r="K238" s="25"/>
      <c r="L238" s="25"/>
      <c r="M238" s="25">
        <f>Tbl_2026[[#This Row],[Gross Wt.]]-(Tbl_2026[[#This Row],[Pskal]]+Tbl_2026[[#This Row],[Pack Wt.]])</f>
        <v>0</v>
      </c>
      <c r="N238" s="98"/>
      <c r="O238" s="25">
        <f>Tbl_2026[[#This Row],[Wt. Befor ratio]]*Tbl_2026[[#This Row],[Ratio]]</f>
        <v>0</v>
      </c>
      <c r="P238" s="25"/>
      <c r="Q238" s="25"/>
      <c r="R238" s="25"/>
      <c r="S238" s="25"/>
      <c r="T238" s="25"/>
      <c r="U238" s="25"/>
    </row>
    <row r="239" spans="1:21" x14ac:dyDescent="0.25">
      <c r="A239" s="25" t="str">
        <f t="shared" si="3"/>
        <v/>
      </c>
      <c r="B239" s="97"/>
      <c r="C239" s="205"/>
      <c r="D239" s="25"/>
      <c r="E239" s="25"/>
      <c r="F239" s="25"/>
      <c r="G239" s="25"/>
      <c r="H239" s="25"/>
      <c r="I239" s="25"/>
      <c r="J239" s="25"/>
      <c r="K239" s="25"/>
      <c r="L239" s="25"/>
      <c r="M239" s="25">
        <f>Tbl_2026[[#This Row],[Gross Wt.]]-(Tbl_2026[[#This Row],[Pskal]]+Tbl_2026[[#This Row],[Pack Wt.]])</f>
        <v>0</v>
      </c>
      <c r="N239" s="98"/>
      <c r="O239" s="25">
        <f>Tbl_2026[[#This Row],[Wt. Befor ratio]]*Tbl_2026[[#This Row],[Ratio]]</f>
        <v>0</v>
      </c>
      <c r="P239" s="25"/>
      <c r="Q239" s="25"/>
      <c r="R239" s="25"/>
      <c r="S239" s="25"/>
      <c r="T239" s="25"/>
      <c r="U239" s="25"/>
    </row>
    <row r="240" spans="1:21" x14ac:dyDescent="0.25">
      <c r="A240" s="25" t="str">
        <f t="shared" si="3"/>
        <v/>
      </c>
      <c r="B240" s="97"/>
      <c r="C240" s="205"/>
      <c r="D240" s="25"/>
      <c r="E240" s="25"/>
      <c r="F240" s="25"/>
      <c r="G240" s="25"/>
      <c r="H240" s="25"/>
      <c r="I240" s="25"/>
      <c r="J240" s="25"/>
      <c r="K240" s="25"/>
      <c r="L240" s="25"/>
      <c r="M240" s="25">
        <f>Tbl_2026[[#This Row],[Gross Wt.]]-(Tbl_2026[[#This Row],[Pskal]]+Tbl_2026[[#This Row],[Pack Wt.]])</f>
        <v>0</v>
      </c>
      <c r="N240" s="98"/>
      <c r="O240" s="25">
        <f>Tbl_2026[[#This Row],[Wt. Befor ratio]]*Tbl_2026[[#This Row],[Ratio]]</f>
        <v>0</v>
      </c>
      <c r="P240" s="25"/>
      <c r="Q240" s="25"/>
      <c r="R240" s="25"/>
      <c r="S240" s="25"/>
      <c r="T240" s="25"/>
      <c r="U240" s="25"/>
    </row>
    <row r="241" spans="1:21" x14ac:dyDescent="0.25">
      <c r="A241" s="25" t="str">
        <f t="shared" si="3"/>
        <v/>
      </c>
      <c r="B241" s="97"/>
      <c r="C241" s="205"/>
      <c r="D241" s="25"/>
      <c r="E241" s="25"/>
      <c r="F241" s="25"/>
      <c r="G241" s="25"/>
      <c r="H241" s="25"/>
      <c r="I241" s="25"/>
      <c r="J241" s="25"/>
      <c r="K241" s="25"/>
      <c r="L241" s="25"/>
      <c r="M241" s="25">
        <f>Tbl_2026[[#This Row],[Gross Wt.]]-(Tbl_2026[[#This Row],[Pskal]]+Tbl_2026[[#This Row],[Pack Wt.]])</f>
        <v>0</v>
      </c>
      <c r="N241" s="98"/>
      <c r="O241" s="25">
        <f>Tbl_2026[[#This Row],[Wt. Befor ratio]]*Tbl_2026[[#This Row],[Ratio]]</f>
        <v>0</v>
      </c>
      <c r="P241" s="25"/>
      <c r="Q241" s="25"/>
      <c r="R241" s="25"/>
      <c r="S241" s="25"/>
      <c r="T241" s="25"/>
      <c r="U241" s="25"/>
    </row>
    <row r="242" spans="1:21" x14ac:dyDescent="0.25">
      <c r="A242" s="25" t="str">
        <f t="shared" si="3"/>
        <v/>
      </c>
      <c r="B242" s="97"/>
      <c r="C242" s="205"/>
      <c r="D242" s="25"/>
      <c r="E242" s="25"/>
      <c r="F242" s="25"/>
      <c r="G242" s="25"/>
      <c r="H242" s="25"/>
      <c r="I242" s="25"/>
      <c r="J242" s="25"/>
      <c r="K242" s="25"/>
      <c r="L242" s="25"/>
      <c r="M242" s="25">
        <f>Tbl_2026[[#This Row],[Gross Wt.]]-(Tbl_2026[[#This Row],[Pskal]]+Tbl_2026[[#This Row],[Pack Wt.]])</f>
        <v>0</v>
      </c>
      <c r="N242" s="98"/>
      <c r="O242" s="25">
        <f>Tbl_2026[[#This Row],[Wt. Befor ratio]]*Tbl_2026[[#This Row],[Ratio]]</f>
        <v>0</v>
      </c>
      <c r="P242" s="25"/>
      <c r="Q242" s="25"/>
      <c r="R242" s="25"/>
      <c r="S242" s="25"/>
      <c r="T242" s="25"/>
      <c r="U242" s="25"/>
    </row>
    <row r="243" spans="1:21" x14ac:dyDescent="0.25">
      <c r="A243" s="25" t="str">
        <f t="shared" si="3"/>
        <v/>
      </c>
      <c r="B243" s="97"/>
      <c r="C243" s="205"/>
      <c r="D243" s="25"/>
      <c r="E243" s="25"/>
      <c r="F243" s="25"/>
      <c r="G243" s="25"/>
      <c r="H243" s="25"/>
      <c r="I243" s="25"/>
      <c r="J243" s="25"/>
      <c r="K243" s="25"/>
      <c r="L243" s="25"/>
      <c r="M243" s="25">
        <f>Tbl_2026[[#This Row],[Gross Wt.]]-(Tbl_2026[[#This Row],[Pskal]]+Tbl_2026[[#This Row],[Pack Wt.]])</f>
        <v>0</v>
      </c>
      <c r="N243" s="98"/>
      <c r="O243" s="25">
        <f>Tbl_2026[[#This Row],[Wt. Befor ratio]]*Tbl_2026[[#This Row],[Ratio]]</f>
        <v>0</v>
      </c>
      <c r="P243" s="25"/>
      <c r="Q243" s="25"/>
      <c r="R243" s="25"/>
      <c r="S243" s="25"/>
      <c r="T243" s="25"/>
      <c r="U243" s="25"/>
    </row>
    <row r="244" spans="1:21" x14ac:dyDescent="0.25">
      <c r="A244" s="25" t="str">
        <f t="shared" si="3"/>
        <v/>
      </c>
      <c r="B244" s="97"/>
      <c r="C244" s="205"/>
      <c r="D244" s="25"/>
      <c r="E244" s="25"/>
      <c r="F244" s="25"/>
      <c r="G244" s="25"/>
      <c r="H244" s="25"/>
      <c r="I244" s="25"/>
      <c r="J244" s="25"/>
      <c r="K244" s="25"/>
      <c r="L244" s="25"/>
      <c r="M244" s="25">
        <f>Tbl_2026[[#This Row],[Gross Wt.]]-(Tbl_2026[[#This Row],[Pskal]]+Tbl_2026[[#This Row],[Pack Wt.]])</f>
        <v>0</v>
      </c>
      <c r="N244" s="98"/>
      <c r="O244" s="25">
        <f>Tbl_2026[[#This Row],[Wt. Befor ratio]]*Tbl_2026[[#This Row],[Ratio]]</f>
        <v>0</v>
      </c>
      <c r="P244" s="25"/>
      <c r="Q244" s="25"/>
      <c r="R244" s="25"/>
      <c r="S244" s="25"/>
      <c r="T244" s="25"/>
      <c r="U244" s="25"/>
    </row>
    <row r="245" spans="1:21" x14ac:dyDescent="0.25">
      <c r="A245" s="25" t="str">
        <f t="shared" si="3"/>
        <v/>
      </c>
      <c r="B245" s="97"/>
      <c r="C245" s="205"/>
      <c r="D245" s="25"/>
      <c r="E245" s="25"/>
      <c r="F245" s="25"/>
      <c r="G245" s="25"/>
      <c r="H245" s="25"/>
      <c r="I245" s="25"/>
      <c r="J245" s="25"/>
      <c r="K245" s="25"/>
      <c r="L245" s="25"/>
      <c r="M245" s="25">
        <f>Tbl_2026[[#This Row],[Gross Wt.]]-(Tbl_2026[[#This Row],[Pskal]]+Tbl_2026[[#This Row],[Pack Wt.]])</f>
        <v>0</v>
      </c>
      <c r="N245" s="98"/>
      <c r="O245" s="25">
        <f>Tbl_2026[[#This Row],[Wt. Befor ratio]]*Tbl_2026[[#This Row],[Ratio]]</f>
        <v>0</v>
      </c>
      <c r="P245" s="25"/>
      <c r="Q245" s="25"/>
      <c r="R245" s="25"/>
      <c r="S245" s="25"/>
      <c r="T245" s="25"/>
      <c r="U245" s="25"/>
    </row>
    <row r="246" spans="1:21" x14ac:dyDescent="0.25">
      <c r="A246" s="25" t="str">
        <f t="shared" si="3"/>
        <v/>
      </c>
      <c r="B246" s="97"/>
      <c r="C246" s="205"/>
      <c r="D246" s="25"/>
      <c r="E246" s="25"/>
      <c r="F246" s="25"/>
      <c r="G246" s="25"/>
      <c r="H246" s="25"/>
      <c r="I246" s="25"/>
      <c r="J246" s="25"/>
      <c r="K246" s="25"/>
      <c r="L246" s="25"/>
      <c r="M246" s="25">
        <f>Tbl_2026[[#This Row],[Gross Wt.]]-(Tbl_2026[[#This Row],[Pskal]]+Tbl_2026[[#This Row],[Pack Wt.]])</f>
        <v>0</v>
      </c>
      <c r="N246" s="98"/>
      <c r="O246" s="25">
        <f>Tbl_2026[[#This Row],[Wt. Befor ratio]]*Tbl_2026[[#This Row],[Ratio]]</f>
        <v>0</v>
      </c>
      <c r="P246" s="25"/>
      <c r="Q246" s="25"/>
      <c r="R246" s="25"/>
      <c r="S246" s="25"/>
      <c r="T246" s="25"/>
      <c r="U246" s="25"/>
    </row>
    <row r="247" spans="1:21" x14ac:dyDescent="0.25">
      <c r="A247" s="25" t="str">
        <f t="shared" si="3"/>
        <v/>
      </c>
      <c r="B247" s="97"/>
      <c r="C247" s="205"/>
      <c r="D247" s="25"/>
      <c r="E247" s="25"/>
      <c r="F247" s="25"/>
      <c r="G247" s="25"/>
      <c r="H247" s="25"/>
      <c r="I247" s="25"/>
      <c r="J247" s="25"/>
      <c r="K247" s="25"/>
      <c r="L247" s="25"/>
      <c r="M247" s="25">
        <f>Tbl_2026[[#This Row],[Gross Wt.]]-(Tbl_2026[[#This Row],[Pskal]]+Tbl_2026[[#This Row],[Pack Wt.]])</f>
        <v>0</v>
      </c>
      <c r="N247" s="98"/>
      <c r="O247" s="25">
        <f>Tbl_2026[[#This Row],[Wt. Befor ratio]]*Tbl_2026[[#This Row],[Ratio]]</f>
        <v>0</v>
      </c>
      <c r="P247" s="25"/>
      <c r="Q247" s="25"/>
      <c r="R247" s="25"/>
      <c r="S247" s="25"/>
      <c r="T247" s="25"/>
      <c r="U247" s="25"/>
    </row>
    <row r="248" spans="1:21" x14ac:dyDescent="0.25">
      <c r="A248" s="25" t="str">
        <f t="shared" si="3"/>
        <v/>
      </c>
      <c r="B248" s="97"/>
      <c r="C248" s="205"/>
      <c r="D248" s="25"/>
      <c r="E248" s="25"/>
      <c r="F248" s="25"/>
      <c r="G248" s="25"/>
      <c r="H248" s="25"/>
      <c r="I248" s="25"/>
      <c r="J248" s="25"/>
      <c r="K248" s="25"/>
      <c r="L248" s="25"/>
      <c r="M248" s="25">
        <f>Tbl_2026[[#This Row],[Gross Wt.]]-(Tbl_2026[[#This Row],[Pskal]]+Tbl_2026[[#This Row],[Pack Wt.]])</f>
        <v>0</v>
      </c>
      <c r="N248" s="98"/>
      <c r="O248" s="25">
        <f>Tbl_2026[[#This Row],[Wt. Befor ratio]]*Tbl_2026[[#This Row],[Ratio]]</f>
        <v>0</v>
      </c>
      <c r="P248" s="25"/>
      <c r="Q248" s="25"/>
      <c r="R248" s="25"/>
      <c r="S248" s="25"/>
      <c r="T248" s="25"/>
      <c r="U248" s="25"/>
    </row>
    <row r="249" spans="1:21" x14ac:dyDescent="0.25">
      <c r="A249" s="25" t="str">
        <f t="shared" si="3"/>
        <v/>
      </c>
      <c r="B249" s="97"/>
      <c r="C249" s="205"/>
      <c r="D249" s="25"/>
      <c r="E249" s="25"/>
      <c r="F249" s="25"/>
      <c r="G249" s="25"/>
      <c r="H249" s="25"/>
      <c r="I249" s="25"/>
      <c r="J249" s="25"/>
      <c r="K249" s="25"/>
      <c r="L249" s="25"/>
      <c r="M249" s="25">
        <f>Tbl_2026[[#This Row],[Gross Wt.]]-(Tbl_2026[[#This Row],[Pskal]]+Tbl_2026[[#This Row],[Pack Wt.]])</f>
        <v>0</v>
      </c>
      <c r="N249" s="98"/>
      <c r="O249" s="25">
        <f>Tbl_2026[[#This Row],[Wt. Befor ratio]]*Tbl_2026[[#This Row],[Ratio]]</f>
        <v>0</v>
      </c>
      <c r="P249" s="25"/>
      <c r="Q249" s="25"/>
      <c r="R249" s="25"/>
      <c r="S249" s="25"/>
      <c r="T249" s="25"/>
      <c r="U249" s="25"/>
    </row>
    <row r="250" spans="1:21" x14ac:dyDescent="0.25">
      <c r="A250" s="25" t="str">
        <f t="shared" si="3"/>
        <v/>
      </c>
      <c r="B250" s="97"/>
      <c r="C250" s="205"/>
      <c r="D250" s="25"/>
      <c r="E250" s="25"/>
      <c r="F250" s="25"/>
      <c r="G250" s="25"/>
      <c r="H250" s="25"/>
      <c r="I250" s="25"/>
      <c r="J250" s="25"/>
      <c r="K250" s="25"/>
      <c r="L250" s="25"/>
      <c r="M250" s="25">
        <f>Tbl_2026[[#This Row],[Gross Wt.]]-(Tbl_2026[[#This Row],[Pskal]]+Tbl_2026[[#This Row],[Pack Wt.]])</f>
        <v>0</v>
      </c>
      <c r="N250" s="98"/>
      <c r="O250" s="25">
        <f>Tbl_2026[[#This Row],[Wt. Befor ratio]]*Tbl_2026[[#This Row],[Ratio]]</f>
        <v>0</v>
      </c>
      <c r="P250" s="25"/>
      <c r="Q250" s="25"/>
      <c r="R250" s="25"/>
      <c r="S250" s="25"/>
      <c r="T250" s="25"/>
      <c r="U250" s="25"/>
    </row>
    <row r="251" spans="1:21" x14ac:dyDescent="0.25">
      <c r="A251" s="25" t="str">
        <f t="shared" si="3"/>
        <v/>
      </c>
      <c r="B251" s="97"/>
      <c r="C251" s="205"/>
      <c r="D251" s="25"/>
      <c r="E251" s="25"/>
      <c r="F251" s="25"/>
      <c r="G251" s="25"/>
      <c r="H251" s="25"/>
      <c r="I251" s="25"/>
      <c r="J251" s="25"/>
      <c r="K251" s="25"/>
      <c r="L251" s="25"/>
      <c r="M251" s="25">
        <f>Tbl_2026[[#This Row],[Gross Wt.]]-(Tbl_2026[[#This Row],[Pskal]]+Tbl_2026[[#This Row],[Pack Wt.]])</f>
        <v>0</v>
      </c>
      <c r="N251" s="98"/>
      <c r="O251" s="25">
        <f>Tbl_2026[[#This Row],[Wt. Befor ratio]]*Tbl_2026[[#This Row],[Ratio]]</f>
        <v>0</v>
      </c>
      <c r="P251" s="25"/>
      <c r="Q251" s="25"/>
      <c r="R251" s="25"/>
      <c r="S251" s="25"/>
      <c r="T251" s="25"/>
      <c r="U251" s="25"/>
    </row>
    <row r="252" spans="1:21" x14ac:dyDescent="0.25">
      <c r="A252" s="25" t="str">
        <f t="shared" si="3"/>
        <v/>
      </c>
      <c r="B252" s="97"/>
      <c r="C252" s="205"/>
      <c r="D252" s="25"/>
      <c r="E252" s="25"/>
      <c r="F252" s="25"/>
      <c r="G252" s="25"/>
      <c r="H252" s="25"/>
      <c r="I252" s="25"/>
      <c r="J252" s="25"/>
      <c r="K252" s="25"/>
      <c r="L252" s="25"/>
      <c r="M252" s="25">
        <f>Tbl_2026[[#This Row],[Gross Wt.]]-(Tbl_2026[[#This Row],[Pskal]]+Tbl_2026[[#This Row],[Pack Wt.]])</f>
        <v>0</v>
      </c>
      <c r="N252" s="98"/>
      <c r="O252" s="25">
        <f>Tbl_2026[[#This Row],[Wt. Befor ratio]]*Tbl_2026[[#This Row],[Ratio]]</f>
        <v>0</v>
      </c>
      <c r="P252" s="25"/>
      <c r="Q252" s="25"/>
      <c r="R252" s="25"/>
      <c r="S252" s="25"/>
      <c r="T252" s="25"/>
      <c r="U252" s="25"/>
    </row>
    <row r="253" spans="1:21" x14ac:dyDescent="0.25">
      <c r="A253" s="25" t="str">
        <f t="shared" si="3"/>
        <v/>
      </c>
      <c r="B253" s="97"/>
      <c r="C253" s="205"/>
      <c r="D253" s="25"/>
      <c r="E253" s="25"/>
      <c r="F253" s="25"/>
      <c r="G253" s="25"/>
      <c r="H253" s="25"/>
      <c r="I253" s="25"/>
      <c r="J253" s="25"/>
      <c r="K253" s="25"/>
      <c r="L253" s="25"/>
      <c r="M253" s="25">
        <f>Tbl_2026[[#This Row],[Gross Wt.]]-(Tbl_2026[[#This Row],[Pskal]]+Tbl_2026[[#This Row],[Pack Wt.]])</f>
        <v>0</v>
      </c>
      <c r="N253" s="98"/>
      <c r="O253" s="25">
        <f>Tbl_2026[[#This Row],[Wt. Befor ratio]]*Tbl_2026[[#This Row],[Ratio]]</f>
        <v>0</v>
      </c>
      <c r="P253" s="25"/>
      <c r="Q253" s="25"/>
      <c r="R253" s="25"/>
      <c r="S253" s="25"/>
      <c r="T253" s="25"/>
      <c r="U253" s="25"/>
    </row>
    <row r="254" spans="1:21" x14ac:dyDescent="0.25">
      <c r="A254" s="25" t="str">
        <f t="shared" si="3"/>
        <v/>
      </c>
      <c r="B254" s="97"/>
      <c r="C254" s="205"/>
      <c r="D254" s="25"/>
      <c r="E254" s="25"/>
      <c r="F254" s="25"/>
      <c r="G254" s="25"/>
      <c r="H254" s="25"/>
      <c r="I254" s="25"/>
      <c r="J254" s="25"/>
      <c r="K254" s="25"/>
      <c r="L254" s="25"/>
      <c r="M254" s="25">
        <f>Tbl_2026[[#This Row],[Gross Wt.]]-(Tbl_2026[[#This Row],[Pskal]]+Tbl_2026[[#This Row],[Pack Wt.]])</f>
        <v>0</v>
      </c>
      <c r="N254" s="98"/>
      <c r="O254" s="25">
        <f>Tbl_2026[[#This Row],[Wt. Befor ratio]]*Tbl_2026[[#This Row],[Ratio]]</f>
        <v>0</v>
      </c>
      <c r="P254" s="25"/>
      <c r="Q254" s="25"/>
      <c r="R254" s="25"/>
      <c r="S254" s="25"/>
      <c r="T254" s="25"/>
      <c r="U254" s="25"/>
    </row>
    <row r="255" spans="1:21" x14ac:dyDescent="0.25">
      <c r="A255" s="25" t="str">
        <f t="shared" si="3"/>
        <v/>
      </c>
      <c r="B255" s="97"/>
      <c r="C255" s="205"/>
      <c r="D255" s="25"/>
      <c r="E255" s="25"/>
      <c r="F255" s="25"/>
      <c r="G255" s="25"/>
      <c r="H255" s="25"/>
      <c r="I255" s="25"/>
      <c r="J255" s="25"/>
      <c r="K255" s="25"/>
      <c r="L255" s="25"/>
      <c r="M255" s="25">
        <f>Tbl_2026[[#This Row],[Gross Wt.]]-(Tbl_2026[[#This Row],[Pskal]]+Tbl_2026[[#This Row],[Pack Wt.]])</f>
        <v>0</v>
      </c>
      <c r="N255" s="98"/>
      <c r="O255" s="25">
        <f>Tbl_2026[[#This Row],[Wt. Befor ratio]]*Tbl_2026[[#This Row],[Ratio]]</f>
        <v>0</v>
      </c>
      <c r="P255" s="25"/>
      <c r="Q255" s="25"/>
      <c r="R255" s="25"/>
      <c r="S255" s="25"/>
      <c r="T255" s="25"/>
      <c r="U255" s="25"/>
    </row>
    <row r="256" spans="1:21" x14ac:dyDescent="0.25">
      <c r="A256" s="25" t="str">
        <f t="shared" si="3"/>
        <v/>
      </c>
      <c r="B256" s="97"/>
      <c r="C256" s="205"/>
      <c r="D256" s="25"/>
      <c r="E256" s="25"/>
      <c r="F256" s="25"/>
      <c r="G256" s="25"/>
      <c r="H256" s="25"/>
      <c r="I256" s="25"/>
      <c r="J256" s="25"/>
      <c r="K256" s="25"/>
      <c r="L256" s="25"/>
      <c r="M256" s="25">
        <f>Tbl_2026[[#This Row],[Gross Wt.]]-(Tbl_2026[[#This Row],[Pskal]]+Tbl_2026[[#This Row],[Pack Wt.]])</f>
        <v>0</v>
      </c>
      <c r="N256" s="98"/>
      <c r="O256" s="25">
        <f>Tbl_2026[[#This Row],[Wt. Befor ratio]]*Tbl_2026[[#This Row],[Ratio]]</f>
        <v>0</v>
      </c>
      <c r="P256" s="25"/>
      <c r="Q256" s="25"/>
      <c r="R256" s="25"/>
      <c r="S256" s="25"/>
      <c r="T256" s="25"/>
      <c r="U256" s="25"/>
    </row>
    <row r="257" spans="1:21" x14ac:dyDescent="0.25">
      <c r="A257" s="25" t="str">
        <f t="shared" si="3"/>
        <v/>
      </c>
      <c r="B257" s="97"/>
      <c r="C257" s="205"/>
      <c r="D257" s="25"/>
      <c r="E257" s="25"/>
      <c r="F257" s="25"/>
      <c r="G257" s="25"/>
      <c r="H257" s="25"/>
      <c r="I257" s="25"/>
      <c r="J257" s="25"/>
      <c r="K257" s="25"/>
      <c r="L257" s="25"/>
      <c r="M257" s="25">
        <f>Tbl_2026[[#This Row],[Gross Wt.]]-(Tbl_2026[[#This Row],[Pskal]]+Tbl_2026[[#This Row],[Pack Wt.]])</f>
        <v>0</v>
      </c>
      <c r="N257" s="98"/>
      <c r="O257" s="25">
        <f>Tbl_2026[[#This Row],[Wt. Befor ratio]]*Tbl_2026[[#This Row],[Ratio]]</f>
        <v>0</v>
      </c>
      <c r="P257" s="25"/>
      <c r="Q257" s="25"/>
      <c r="R257" s="25"/>
      <c r="S257" s="25"/>
      <c r="T257" s="25"/>
      <c r="U257" s="25"/>
    </row>
    <row r="258" spans="1:21" x14ac:dyDescent="0.25">
      <c r="A258" s="25" t="str">
        <f t="shared" si="3"/>
        <v/>
      </c>
      <c r="B258" s="97"/>
      <c r="C258" s="205"/>
      <c r="D258" s="25"/>
      <c r="E258" s="25"/>
      <c r="F258" s="25"/>
      <c r="G258" s="25"/>
      <c r="H258" s="25"/>
      <c r="I258" s="25"/>
      <c r="J258" s="25"/>
      <c r="K258" s="25"/>
      <c r="L258" s="25"/>
      <c r="M258" s="25">
        <f>Tbl_2026[[#This Row],[Gross Wt.]]-(Tbl_2026[[#This Row],[Pskal]]+Tbl_2026[[#This Row],[Pack Wt.]])</f>
        <v>0</v>
      </c>
      <c r="N258" s="98"/>
      <c r="O258" s="25">
        <f>Tbl_2026[[#This Row],[Wt. Befor ratio]]*Tbl_2026[[#This Row],[Ratio]]</f>
        <v>0</v>
      </c>
      <c r="P258" s="25"/>
      <c r="Q258" s="25"/>
      <c r="R258" s="25"/>
      <c r="S258" s="25"/>
      <c r="T258" s="25"/>
      <c r="U258" s="25"/>
    </row>
    <row r="259" spans="1:21" x14ac:dyDescent="0.25">
      <c r="A259" s="25" t="str">
        <f t="shared" si="3"/>
        <v/>
      </c>
      <c r="B259" s="97"/>
      <c r="C259" s="205"/>
      <c r="D259" s="25"/>
      <c r="E259" s="25"/>
      <c r="F259" s="25"/>
      <c r="G259" s="25"/>
      <c r="H259" s="25"/>
      <c r="I259" s="25"/>
      <c r="J259" s="25"/>
      <c r="K259" s="25"/>
      <c r="L259" s="25"/>
      <c r="M259" s="25">
        <f>Tbl_2026[[#This Row],[Gross Wt.]]-(Tbl_2026[[#This Row],[Pskal]]+Tbl_2026[[#This Row],[Pack Wt.]])</f>
        <v>0</v>
      </c>
      <c r="N259" s="98"/>
      <c r="O259" s="25">
        <f>Tbl_2026[[#This Row],[Wt. Befor ratio]]*Tbl_2026[[#This Row],[Ratio]]</f>
        <v>0</v>
      </c>
      <c r="P259" s="25"/>
      <c r="Q259" s="25"/>
      <c r="R259" s="25"/>
      <c r="S259" s="25"/>
      <c r="T259" s="25"/>
      <c r="U259" s="25"/>
    </row>
    <row r="260" spans="1:21" x14ac:dyDescent="0.25">
      <c r="A260" s="25" t="str">
        <f t="shared" ref="A260:A323" si="4">IF(B260&gt;0,A259+1,"")</f>
        <v/>
      </c>
      <c r="B260" s="97"/>
      <c r="C260" s="205"/>
      <c r="D260" s="25"/>
      <c r="E260" s="25"/>
      <c r="F260" s="25"/>
      <c r="G260" s="25"/>
      <c r="H260" s="25"/>
      <c r="I260" s="25"/>
      <c r="J260" s="25"/>
      <c r="K260" s="25"/>
      <c r="L260" s="25"/>
      <c r="M260" s="25">
        <f>Tbl_2026[[#This Row],[Gross Wt.]]-(Tbl_2026[[#This Row],[Pskal]]+Tbl_2026[[#This Row],[Pack Wt.]])</f>
        <v>0</v>
      </c>
      <c r="N260" s="98"/>
      <c r="O260" s="25">
        <f>Tbl_2026[[#This Row],[Wt. Befor ratio]]*Tbl_2026[[#This Row],[Ratio]]</f>
        <v>0</v>
      </c>
      <c r="P260" s="25"/>
      <c r="Q260" s="25"/>
      <c r="R260" s="25"/>
      <c r="S260" s="25"/>
      <c r="T260" s="25"/>
      <c r="U260" s="25"/>
    </row>
    <row r="261" spans="1:21" x14ac:dyDescent="0.25">
      <c r="A261" s="25" t="str">
        <f t="shared" si="4"/>
        <v/>
      </c>
      <c r="B261" s="97"/>
      <c r="C261" s="205"/>
      <c r="D261" s="25"/>
      <c r="E261" s="25"/>
      <c r="F261" s="25"/>
      <c r="G261" s="25"/>
      <c r="H261" s="25"/>
      <c r="I261" s="25"/>
      <c r="J261" s="25"/>
      <c r="K261" s="25"/>
      <c r="L261" s="25"/>
      <c r="M261" s="25">
        <f>Tbl_2026[[#This Row],[Gross Wt.]]-(Tbl_2026[[#This Row],[Pskal]]+Tbl_2026[[#This Row],[Pack Wt.]])</f>
        <v>0</v>
      </c>
      <c r="N261" s="98"/>
      <c r="O261" s="25">
        <f>Tbl_2026[[#This Row],[Wt. Befor ratio]]*Tbl_2026[[#This Row],[Ratio]]</f>
        <v>0</v>
      </c>
      <c r="P261" s="25"/>
      <c r="Q261" s="25"/>
      <c r="R261" s="25"/>
      <c r="S261" s="25"/>
      <c r="T261" s="25"/>
      <c r="U261" s="25"/>
    </row>
    <row r="262" spans="1:21" x14ac:dyDescent="0.25">
      <c r="A262" s="25" t="str">
        <f t="shared" si="4"/>
        <v/>
      </c>
      <c r="B262" s="97"/>
      <c r="C262" s="205"/>
      <c r="D262" s="25"/>
      <c r="E262" s="25"/>
      <c r="F262" s="25"/>
      <c r="G262" s="25"/>
      <c r="H262" s="25"/>
      <c r="I262" s="25"/>
      <c r="J262" s="25"/>
      <c r="K262" s="25"/>
      <c r="L262" s="25"/>
      <c r="M262" s="25">
        <f>Tbl_2026[[#This Row],[Gross Wt.]]-(Tbl_2026[[#This Row],[Pskal]]+Tbl_2026[[#This Row],[Pack Wt.]])</f>
        <v>0</v>
      </c>
      <c r="N262" s="98"/>
      <c r="O262" s="25">
        <f>Tbl_2026[[#This Row],[Wt. Befor ratio]]*Tbl_2026[[#This Row],[Ratio]]</f>
        <v>0</v>
      </c>
      <c r="P262" s="25"/>
      <c r="Q262" s="25"/>
      <c r="R262" s="25"/>
      <c r="S262" s="25"/>
      <c r="T262" s="25"/>
      <c r="U262" s="25"/>
    </row>
    <row r="263" spans="1:21" x14ac:dyDescent="0.25">
      <c r="A263" s="25" t="str">
        <f t="shared" si="4"/>
        <v/>
      </c>
      <c r="B263" s="97"/>
      <c r="C263" s="205"/>
      <c r="D263" s="25"/>
      <c r="E263" s="25"/>
      <c r="F263" s="25"/>
      <c r="G263" s="25"/>
      <c r="H263" s="25"/>
      <c r="I263" s="25"/>
      <c r="J263" s="25"/>
      <c r="K263" s="25"/>
      <c r="L263" s="25"/>
      <c r="M263" s="25">
        <f>Tbl_2026[[#This Row],[Gross Wt.]]-(Tbl_2026[[#This Row],[Pskal]]+Tbl_2026[[#This Row],[Pack Wt.]])</f>
        <v>0</v>
      </c>
      <c r="N263" s="98"/>
      <c r="O263" s="25">
        <f>Tbl_2026[[#This Row],[Wt. Befor ratio]]*Tbl_2026[[#This Row],[Ratio]]</f>
        <v>0</v>
      </c>
      <c r="P263" s="25"/>
      <c r="Q263" s="25"/>
      <c r="R263" s="25"/>
      <c r="S263" s="25"/>
      <c r="T263" s="25"/>
      <c r="U263" s="25"/>
    </row>
    <row r="264" spans="1:21" x14ac:dyDescent="0.25">
      <c r="A264" s="25" t="str">
        <f t="shared" si="4"/>
        <v/>
      </c>
      <c r="B264" s="97"/>
      <c r="C264" s="205"/>
      <c r="D264" s="25"/>
      <c r="E264" s="25"/>
      <c r="F264" s="25"/>
      <c r="G264" s="25"/>
      <c r="H264" s="25"/>
      <c r="I264" s="25"/>
      <c r="J264" s="25"/>
      <c r="K264" s="25"/>
      <c r="L264" s="25"/>
      <c r="M264" s="25">
        <f>Tbl_2026[[#This Row],[Gross Wt.]]-(Tbl_2026[[#This Row],[Pskal]]+Tbl_2026[[#This Row],[Pack Wt.]])</f>
        <v>0</v>
      </c>
      <c r="N264" s="98"/>
      <c r="O264" s="25">
        <f>Tbl_2026[[#This Row],[Wt. Befor ratio]]*Tbl_2026[[#This Row],[Ratio]]</f>
        <v>0</v>
      </c>
      <c r="P264" s="25"/>
      <c r="Q264" s="25"/>
      <c r="R264" s="25"/>
      <c r="S264" s="25"/>
      <c r="T264" s="25"/>
      <c r="U264" s="25"/>
    </row>
    <row r="265" spans="1:21" x14ac:dyDescent="0.25">
      <c r="A265" s="25" t="str">
        <f t="shared" si="4"/>
        <v/>
      </c>
      <c r="B265" s="97"/>
      <c r="C265" s="205"/>
      <c r="D265" s="25"/>
      <c r="E265" s="25"/>
      <c r="F265" s="25"/>
      <c r="G265" s="25"/>
      <c r="H265" s="25"/>
      <c r="I265" s="25"/>
      <c r="J265" s="25"/>
      <c r="K265" s="25"/>
      <c r="L265" s="25"/>
      <c r="M265" s="25">
        <f>Tbl_2026[[#This Row],[Gross Wt.]]-(Tbl_2026[[#This Row],[Pskal]]+Tbl_2026[[#This Row],[Pack Wt.]])</f>
        <v>0</v>
      </c>
      <c r="N265" s="98"/>
      <c r="O265" s="25">
        <f>Tbl_2026[[#This Row],[Wt. Befor ratio]]*Tbl_2026[[#This Row],[Ratio]]</f>
        <v>0</v>
      </c>
      <c r="P265" s="25"/>
      <c r="Q265" s="25"/>
      <c r="R265" s="25"/>
      <c r="S265" s="25"/>
      <c r="T265" s="25"/>
      <c r="U265" s="25"/>
    </row>
    <row r="266" spans="1:21" x14ac:dyDescent="0.25">
      <c r="A266" s="25" t="str">
        <f t="shared" si="4"/>
        <v/>
      </c>
      <c r="B266" s="97"/>
      <c r="C266" s="205"/>
      <c r="D266" s="25"/>
      <c r="E266" s="25"/>
      <c r="F266" s="25"/>
      <c r="G266" s="25"/>
      <c r="H266" s="25"/>
      <c r="I266" s="25"/>
      <c r="J266" s="25"/>
      <c r="K266" s="25"/>
      <c r="L266" s="25"/>
      <c r="M266" s="25">
        <f>Tbl_2026[[#This Row],[Gross Wt.]]-(Tbl_2026[[#This Row],[Pskal]]+Tbl_2026[[#This Row],[Pack Wt.]])</f>
        <v>0</v>
      </c>
      <c r="N266" s="98"/>
      <c r="O266" s="25">
        <f>Tbl_2026[[#This Row],[Wt. Befor ratio]]*Tbl_2026[[#This Row],[Ratio]]</f>
        <v>0</v>
      </c>
      <c r="P266" s="25"/>
      <c r="Q266" s="25"/>
      <c r="R266" s="25"/>
      <c r="S266" s="25"/>
      <c r="T266" s="25"/>
      <c r="U266" s="25"/>
    </row>
    <row r="267" spans="1:21" x14ac:dyDescent="0.25">
      <c r="A267" s="25" t="str">
        <f t="shared" si="4"/>
        <v/>
      </c>
      <c r="B267" s="97"/>
      <c r="C267" s="205"/>
      <c r="D267" s="25"/>
      <c r="E267" s="25"/>
      <c r="F267" s="25"/>
      <c r="G267" s="25"/>
      <c r="H267" s="25"/>
      <c r="I267" s="25"/>
      <c r="J267" s="25"/>
      <c r="K267" s="25"/>
      <c r="L267" s="25"/>
      <c r="M267" s="25">
        <f>Tbl_2026[[#This Row],[Gross Wt.]]-(Tbl_2026[[#This Row],[Pskal]]+Tbl_2026[[#This Row],[Pack Wt.]])</f>
        <v>0</v>
      </c>
      <c r="N267" s="98"/>
      <c r="O267" s="25">
        <f>Tbl_2026[[#This Row],[Wt. Befor ratio]]*Tbl_2026[[#This Row],[Ratio]]</f>
        <v>0</v>
      </c>
      <c r="P267" s="25"/>
      <c r="Q267" s="25"/>
      <c r="R267" s="25"/>
      <c r="S267" s="25"/>
      <c r="T267" s="25"/>
      <c r="U267" s="25"/>
    </row>
    <row r="268" spans="1:21" x14ac:dyDescent="0.25">
      <c r="A268" s="25" t="str">
        <f t="shared" si="4"/>
        <v/>
      </c>
      <c r="B268" s="97"/>
      <c r="C268" s="205"/>
      <c r="D268" s="25"/>
      <c r="E268" s="25"/>
      <c r="F268" s="25"/>
      <c r="G268" s="25"/>
      <c r="H268" s="25"/>
      <c r="I268" s="25"/>
      <c r="J268" s="25"/>
      <c r="K268" s="25"/>
      <c r="L268" s="25"/>
      <c r="M268" s="25">
        <f>Tbl_2026[[#This Row],[Gross Wt.]]-(Tbl_2026[[#This Row],[Pskal]]+Tbl_2026[[#This Row],[Pack Wt.]])</f>
        <v>0</v>
      </c>
      <c r="N268" s="98"/>
      <c r="O268" s="25">
        <f>Tbl_2026[[#This Row],[Wt. Befor ratio]]*Tbl_2026[[#This Row],[Ratio]]</f>
        <v>0</v>
      </c>
      <c r="P268" s="25"/>
      <c r="Q268" s="25"/>
      <c r="R268" s="25"/>
      <c r="S268" s="25"/>
      <c r="T268" s="25"/>
      <c r="U268" s="25"/>
    </row>
    <row r="269" spans="1:21" x14ac:dyDescent="0.25">
      <c r="A269" s="25" t="str">
        <f t="shared" si="4"/>
        <v/>
      </c>
      <c r="B269" s="97"/>
      <c r="C269" s="205"/>
      <c r="D269" s="25"/>
      <c r="E269" s="25"/>
      <c r="F269" s="25"/>
      <c r="G269" s="25"/>
      <c r="H269" s="25"/>
      <c r="I269" s="25"/>
      <c r="J269" s="25"/>
      <c r="K269" s="25"/>
      <c r="L269" s="25"/>
      <c r="M269" s="25">
        <f>Tbl_2026[[#This Row],[Gross Wt.]]-(Tbl_2026[[#This Row],[Pskal]]+Tbl_2026[[#This Row],[Pack Wt.]])</f>
        <v>0</v>
      </c>
      <c r="N269" s="98"/>
      <c r="O269" s="25">
        <f>Tbl_2026[[#This Row],[Wt. Befor ratio]]*Tbl_2026[[#This Row],[Ratio]]</f>
        <v>0</v>
      </c>
      <c r="P269" s="25"/>
      <c r="Q269" s="25"/>
      <c r="R269" s="25"/>
      <c r="S269" s="25"/>
      <c r="T269" s="25"/>
      <c r="U269" s="25"/>
    </row>
    <row r="270" spans="1:21" x14ac:dyDescent="0.25">
      <c r="A270" s="25" t="str">
        <f t="shared" si="4"/>
        <v/>
      </c>
      <c r="B270" s="97"/>
      <c r="C270" s="205"/>
      <c r="D270" s="25"/>
      <c r="E270" s="25"/>
      <c r="F270" s="25"/>
      <c r="G270" s="25"/>
      <c r="H270" s="25"/>
      <c r="I270" s="25"/>
      <c r="J270" s="25"/>
      <c r="K270" s="25"/>
      <c r="L270" s="25"/>
      <c r="M270" s="25">
        <f>Tbl_2026[[#This Row],[Gross Wt.]]-(Tbl_2026[[#This Row],[Pskal]]+Tbl_2026[[#This Row],[Pack Wt.]])</f>
        <v>0</v>
      </c>
      <c r="N270" s="98"/>
      <c r="O270" s="25">
        <f>Tbl_2026[[#This Row],[Wt. Befor ratio]]*Tbl_2026[[#This Row],[Ratio]]</f>
        <v>0</v>
      </c>
      <c r="P270" s="25"/>
      <c r="Q270" s="25"/>
      <c r="R270" s="25"/>
      <c r="S270" s="25"/>
      <c r="T270" s="25"/>
      <c r="U270" s="25"/>
    </row>
    <row r="271" spans="1:21" x14ac:dyDescent="0.25">
      <c r="A271" s="25" t="str">
        <f t="shared" si="4"/>
        <v/>
      </c>
      <c r="B271" s="97"/>
      <c r="C271" s="205"/>
      <c r="D271" s="25"/>
      <c r="E271" s="25"/>
      <c r="F271" s="25"/>
      <c r="G271" s="25"/>
      <c r="H271" s="25"/>
      <c r="I271" s="25"/>
      <c r="J271" s="25"/>
      <c r="K271" s="25"/>
      <c r="L271" s="25"/>
      <c r="M271" s="25">
        <f>Tbl_2026[[#This Row],[Gross Wt.]]-(Tbl_2026[[#This Row],[Pskal]]+Tbl_2026[[#This Row],[Pack Wt.]])</f>
        <v>0</v>
      </c>
      <c r="N271" s="98"/>
      <c r="O271" s="25">
        <f>Tbl_2026[[#This Row],[Wt. Befor ratio]]*Tbl_2026[[#This Row],[Ratio]]</f>
        <v>0</v>
      </c>
      <c r="P271" s="25"/>
      <c r="Q271" s="25"/>
      <c r="R271" s="25"/>
      <c r="S271" s="25"/>
      <c r="T271" s="25"/>
      <c r="U271" s="25"/>
    </row>
    <row r="272" spans="1:21" x14ac:dyDescent="0.25">
      <c r="A272" s="25" t="str">
        <f t="shared" si="4"/>
        <v/>
      </c>
      <c r="B272" s="97"/>
      <c r="C272" s="205"/>
      <c r="D272" s="25"/>
      <c r="E272" s="25"/>
      <c r="F272" s="25"/>
      <c r="G272" s="25"/>
      <c r="H272" s="25"/>
      <c r="I272" s="25"/>
      <c r="J272" s="25"/>
      <c r="K272" s="25"/>
      <c r="L272" s="25"/>
      <c r="M272" s="25">
        <f>Tbl_2026[[#This Row],[Gross Wt.]]-(Tbl_2026[[#This Row],[Pskal]]+Tbl_2026[[#This Row],[Pack Wt.]])</f>
        <v>0</v>
      </c>
      <c r="N272" s="98"/>
      <c r="O272" s="25">
        <f>Tbl_2026[[#This Row],[Wt. Befor ratio]]*Tbl_2026[[#This Row],[Ratio]]</f>
        <v>0</v>
      </c>
      <c r="P272" s="25"/>
      <c r="Q272" s="25"/>
      <c r="R272" s="25"/>
      <c r="S272" s="25"/>
      <c r="T272" s="25"/>
      <c r="U272" s="25"/>
    </row>
    <row r="273" spans="1:21" x14ac:dyDescent="0.25">
      <c r="A273" s="25" t="str">
        <f t="shared" si="4"/>
        <v/>
      </c>
      <c r="B273" s="97"/>
      <c r="C273" s="205"/>
      <c r="D273" s="25"/>
      <c r="E273" s="25"/>
      <c r="F273" s="25"/>
      <c r="G273" s="25"/>
      <c r="H273" s="25"/>
      <c r="I273" s="25"/>
      <c r="J273" s="25"/>
      <c r="K273" s="25"/>
      <c r="L273" s="25"/>
      <c r="M273" s="25">
        <f>Tbl_2026[[#This Row],[Gross Wt.]]-(Tbl_2026[[#This Row],[Pskal]]+Tbl_2026[[#This Row],[Pack Wt.]])</f>
        <v>0</v>
      </c>
      <c r="N273" s="98"/>
      <c r="O273" s="25">
        <f>Tbl_2026[[#This Row],[Wt. Befor ratio]]*Tbl_2026[[#This Row],[Ratio]]</f>
        <v>0</v>
      </c>
      <c r="P273" s="25"/>
      <c r="Q273" s="25"/>
      <c r="R273" s="25"/>
      <c r="S273" s="25"/>
      <c r="T273" s="25"/>
      <c r="U273" s="25"/>
    </row>
    <row r="274" spans="1:21" x14ac:dyDescent="0.25">
      <c r="A274" s="25" t="str">
        <f t="shared" si="4"/>
        <v/>
      </c>
      <c r="B274" s="97"/>
      <c r="C274" s="205"/>
      <c r="D274" s="25"/>
      <c r="E274" s="25"/>
      <c r="F274" s="25"/>
      <c r="G274" s="25"/>
      <c r="H274" s="25"/>
      <c r="I274" s="25"/>
      <c r="J274" s="25"/>
      <c r="K274" s="25"/>
      <c r="L274" s="25"/>
      <c r="M274" s="25">
        <f>Tbl_2026[[#This Row],[Gross Wt.]]-(Tbl_2026[[#This Row],[Pskal]]+Tbl_2026[[#This Row],[Pack Wt.]])</f>
        <v>0</v>
      </c>
      <c r="N274" s="98"/>
      <c r="O274" s="25">
        <f>Tbl_2026[[#This Row],[Wt. Befor ratio]]*Tbl_2026[[#This Row],[Ratio]]</f>
        <v>0</v>
      </c>
      <c r="P274" s="25"/>
      <c r="Q274" s="25"/>
      <c r="R274" s="25"/>
      <c r="S274" s="25"/>
      <c r="T274" s="25"/>
      <c r="U274" s="25"/>
    </row>
    <row r="275" spans="1:21" x14ac:dyDescent="0.25">
      <c r="A275" s="25" t="str">
        <f t="shared" si="4"/>
        <v/>
      </c>
      <c r="B275" s="97"/>
      <c r="C275" s="205"/>
      <c r="D275" s="25"/>
      <c r="E275" s="25"/>
      <c r="F275" s="25"/>
      <c r="G275" s="25"/>
      <c r="H275" s="25"/>
      <c r="I275" s="25"/>
      <c r="J275" s="25"/>
      <c r="K275" s="25"/>
      <c r="L275" s="25"/>
      <c r="M275" s="25">
        <f>Tbl_2026[[#This Row],[Gross Wt.]]-(Tbl_2026[[#This Row],[Pskal]]+Tbl_2026[[#This Row],[Pack Wt.]])</f>
        <v>0</v>
      </c>
      <c r="N275" s="98"/>
      <c r="O275" s="25">
        <f>Tbl_2026[[#This Row],[Wt. Befor ratio]]*Tbl_2026[[#This Row],[Ratio]]</f>
        <v>0</v>
      </c>
      <c r="P275" s="25"/>
      <c r="Q275" s="25"/>
      <c r="R275" s="25"/>
      <c r="S275" s="25"/>
      <c r="T275" s="25"/>
      <c r="U275" s="25"/>
    </row>
    <row r="276" spans="1:21" x14ac:dyDescent="0.25">
      <c r="A276" s="25" t="str">
        <f t="shared" si="4"/>
        <v/>
      </c>
      <c r="B276" s="97"/>
      <c r="C276" s="205"/>
      <c r="D276" s="25"/>
      <c r="E276" s="25"/>
      <c r="F276" s="25"/>
      <c r="G276" s="25"/>
      <c r="H276" s="25"/>
      <c r="I276" s="25"/>
      <c r="J276" s="25"/>
      <c r="K276" s="25"/>
      <c r="L276" s="25"/>
      <c r="M276" s="25">
        <f>Tbl_2026[[#This Row],[Gross Wt.]]-(Tbl_2026[[#This Row],[Pskal]]+Tbl_2026[[#This Row],[Pack Wt.]])</f>
        <v>0</v>
      </c>
      <c r="N276" s="98"/>
      <c r="O276" s="25">
        <f>Tbl_2026[[#This Row],[Wt. Befor ratio]]*Tbl_2026[[#This Row],[Ratio]]</f>
        <v>0</v>
      </c>
      <c r="P276" s="25"/>
      <c r="Q276" s="25"/>
      <c r="R276" s="25"/>
      <c r="S276" s="25"/>
      <c r="T276" s="25"/>
      <c r="U276" s="25"/>
    </row>
    <row r="277" spans="1:21" x14ac:dyDescent="0.25">
      <c r="A277" s="25" t="str">
        <f t="shared" si="4"/>
        <v/>
      </c>
      <c r="B277" s="97"/>
      <c r="C277" s="205"/>
      <c r="D277" s="25"/>
      <c r="E277" s="25"/>
      <c r="F277" s="25"/>
      <c r="G277" s="25"/>
      <c r="H277" s="25"/>
      <c r="I277" s="25"/>
      <c r="J277" s="25"/>
      <c r="K277" s="25"/>
      <c r="L277" s="25"/>
      <c r="M277" s="25">
        <f>Tbl_2026[[#This Row],[Gross Wt.]]-(Tbl_2026[[#This Row],[Pskal]]+Tbl_2026[[#This Row],[Pack Wt.]])</f>
        <v>0</v>
      </c>
      <c r="N277" s="98"/>
      <c r="O277" s="25">
        <f>Tbl_2026[[#This Row],[Wt. Befor ratio]]*Tbl_2026[[#This Row],[Ratio]]</f>
        <v>0</v>
      </c>
      <c r="P277" s="25"/>
      <c r="Q277" s="25"/>
      <c r="R277" s="25"/>
      <c r="S277" s="25"/>
      <c r="T277" s="25"/>
      <c r="U277" s="25"/>
    </row>
    <row r="278" spans="1:21" x14ac:dyDescent="0.25">
      <c r="A278" s="25" t="str">
        <f t="shared" si="4"/>
        <v/>
      </c>
      <c r="B278" s="97"/>
      <c r="C278" s="205"/>
      <c r="D278" s="25"/>
      <c r="E278" s="25"/>
      <c r="F278" s="25"/>
      <c r="G278" s="25"/>
      <c r="H278" s="25"/>
      <c r="I278" s="25"/>
      <c r="J278" s="25"/>
      <c r="K278" s="25"/>
      <c r="L278" s="25"/>
      <c r="M278" s="25">
        <f>Tbl_2026[[#This Row],[Gross Wt.]]-(Tbl_2026[[#This Row],[Pskal]]+Tbl_2026[[#This Row],[Pack Wt.]])</f>
        <v>0</v>
      </c>
      <c r="N278" s="98"/>
      <c r="O278" s="25">
        <f>Tbl_2026[[#This Row],[Wt. Befor ratio]]*Tbl_2026[[#This Row],[Ratio]]</f>
        <v>0</v>
      </c>
      <c r="P278" s="25"/>
      <c r="Q278" s="25"/>
      <c r="R278" s="25"/>
      <c r="S278" s="25"/>
      <c r="T278" s="25"/>
      <c r="U278" s="25"/>
    </row>
    <row r="279" spans="1:21" x14ac:dyDescent="0.25">
      <c r="A279" s="25" t="str">
        <f t="shared" si="4"/>
        <v/>
      </c>
      <c r="B279" s="97"/>
      <c r="C279" s="205"/>
      <c r="D279" s="25"/>
      <c r="E279" s="25"/>
      <c r="F279" s="25"/>
      <c r="G279" s="25"/>
      <c r="H279" s="25"/>
      <c r="I279" s="25"/>
      <c r="J279" s="25"/>
      <c r="K279" s="25"/>
      <c r="L279" s="25"/>
      <c r="M279" s="25">
        <f>Tbl_2026[[#This Row],[Gross Wt.]]-(Tbl_2026[[#This Row],[Pskal]]+Tbl_2026[[#This Row],[Pack Wt.]])</f>
        <v>0</v>
      </c>
      <c r="N279" s="98"/>
      <c r="O279" s="25">
        <f>Tbl_2026[[#This Row],[Wt. Befor ratio]]*Tbl_2026[[#This Row],[Ratio]]</f>
        <v>0</v>
      </c>
      <c r="P279" s="25"/>
      <c r="Q279" s="25"/>
      <c r="R279" s="25"/>
      <c r="S279" s="25"/>
      <c r="T279" s="25"/>
      <c r="U279" s="25"/>
    </row>
    <row r="280" spans="1:21" x14ac:dyDescent="0.25">
      <c r="A280" s="25" t="str">
        <f t="shared" si="4"/>
        <v/>
      </c>
      <c r="B280" s="97"/>
      <c r="C280" s="205"/>
      <c r="D280" s="25"/>
      <c r="E280" s="25"/>
      <c r="F280" s="25"/>
      <c r="G280" s="25"/>
      <c r="H280" s="25"/>
      <c r="I280" s="25"/>
      <c r="J280" s="25"/>
      <c r="K280" s="25"/>
      <c r="L280" s="25"/>
      <c r="M280" s="25">
        <f>Tbl_2026[[#This Row],[Gross Wt.]]-(Tbl_2026[[#This Row],[Pskal]]+Tbl_2026[[#This Row],[Pack Wt.]])</f>
        <v>0</v>
      </c>
      <c r="N280" s="98"/>
      <c r="O280" s="25">
        <f>Tbl_2026[[#This Row],[Wt. Befor ratio]]*Tbl_2026[[#This Row],[Ratio]]</f>
        <v>0</v>
      </c>
      <c r="P280" s="25"/>
      <c r="Q280" s="25"/>
      <c r="R280" s="25"/>
      <c r="S280" s="25"/>
      <c r="T280" s="25"/>
      <c r="U280" s="25"/>
    </row>
    <row r="281" spans="1:21" x14ac:dyDescent="0.25">
      <c r="A281" s="25" t="str">
        <f t="shared" si="4"/>
        <v/>
      </c>
      <c r="B281" s="97"/>
      <c r="C281" s="205"/>
      <c r="D281" s="25"/>
      <c r="E281" s="25"/>
      <c r="F281" s="25"/>
      <c r="G281" s="25"/>
      <c r="H281" s="25"/>
      <c r="I281" s="25"/>
      <c r="J281" s="25"/>
      <c r="K281" s="25"/>
      <c r="L281" s="25"/>
      <c r="M281" s="25">
        <f>Tbl_2026[[#This Row],[Gross Wt.]]-(Tbl_2026[[#This Row],[Pskal]]+Tbl_2026[[#This Row],[Pack Wt.]])</f>
        <v>0</v>
      </c>
      <c r="N281" s="98"/>
      <c r="O281" s="25">
        <f>Tbl_2026[[#This Row],[Wt. Befor ratio]]*Tbl_2026[[#This Row],[Ratio]]</f>
        <v>0</v>
      </c>
      <c r="P281" s="25"/>
      <c r="Q281" s="25"/>
      <c r="R281" s="25"/>
      <c r="S281" s="25"/>
      <c r="T281" s="25"/>
      <c r="U281" s="25"/>
    </row>
    <row r="282" spans="1:21" x14ac:dyDescent="0.25">
      <c r="A282" s="25" t="str">
        <f t="shared" si="4"/>
        <v/>
      </c>
      <c r="B282" s="97"/>
      <c r="C282" s="205"/>
      <c r="D282" s="25"/>
      <c r="E282" s="25"/>
      <c r="F282" s="25"/>
      <c r="G282" s="25"/>
      <c r="H282" s="25"/>
      <c r="I282" s="25"/>
      <c r="J282" s="25"/>
      <c r="K282" s="25"/>
      <c r="L282" s="25"/>
      <c r="M282" s="25">
        <f>Tbl_2026[[#This Row],[Gross Wt.]]-(Tbl_2026[[#This Row],[Pskal]]+Tbl_2026[[#This Row],[Pack Wt.]])</f>
        <v>0</v>
      </c>
      <c r="N282" s="98"/>
      <c r="O282" s="25">
        <f>Tbl_2026[[#This Row],[Wt. Befor ratio]]*Tbl_2026[[#This Row],[Ratio]]</f>
        <v>0</v>
      </c>
      <c r="P282" s="25"/>
      <c r="Q282" s="25"/>
      <c r="R282" s="25"/>
      <c r="S282" s="25"/>
      <c r="T282" s="25"/>
      <c r="U282" s="25"/>
    </row>
    <row r="283" spans="1:21" x14ac:dyDescent="0.25">
      <c r="A283" s="25" t="str">
        <f t="shared" si="4"/>
        <v/>
      </c>
      <c r="B283" s="97"/>
      <c r="C283" s="205"/>
      <c r="D283" s="25"/>
      <c r="E283" s="25"/>
      <c r="F283" s="25"/>
      <c r="G283" s="25"/>
      <c r="H283" s="25"/>
      <c r="I283" s="25"/>
      <c r="J283" s="25"/>
      <c r="K283" s="25"/>
      <c r="L283" s="25"/>
      <c r="M283" s="25">
        <f>Tbl_2026[[#This Row],[Gross Wt.]]-(Tbl_2026[[#This Row],[Pskal]]+Tbl_2026[[#This Row],[Pack Wt.]])</f>
        <v>0</v>
      </c>
      <c r="N283" s="98"/>
      <c r="O283" s="25">
        <f>Tbl_2026[[#This Row],[Wt. Befor ratio]]*Tbl_2026[[#This Row],[Ratio]]</f>
        <v>0</v>
      </c>
      <c r="P283" s="25"/>
      <c r="Q283" s="25"/>
      <c r="R283" s="25"/>
      <c r="S283" s="25"/>
      <c r="T283" s="25"/>
      <c r="U283" s="25"/>
    </row>
    <row r="284" spans="1:21" x14ac:dyDescent="0.25">
      <c r="A284" s="25" t="str">
        <f t="shared" si="4"/>
        <v/>
      </c>
      <c r="B284" s="97"/>
      <c r="C284" s="205"/>
      <c r="D284" s="25"/>
      <c r="E284" s="25"/>
      <c r="F284" s="25"/>
      <c r="G284" s="25"/>
      <c r="H284" s="25"/>
      <c r="I284" s="25"/>
      <c r="J284" s="25"/>
      <c r="K284" s="25"/>
      <c r="L284" s="25"/>
      <c r="M284" s="25">
        <f>Tbl_2026[[#This Row],[Gross Wt.]]-(Tbl_2026[[#This Row],[Pskal]]+Tbl_2026[[#This Row],[Pack Wt.]])</f>
        <v>0</v>
      </c>
      <c r="N284" s="98"/>
      <c r="O284" s="25">
        <f>Tbl_2026[[#This Row],[Wt. Befor ratio]]*Tbl_2026[[#This Row],[Ratio]]</f>
        <v>0</v>
      </c>
      <c r="P284" s="25"/>
      <c r="Q284" s="25"/>
      <c r="R284" s="25"/>
      <c r="S284" s="25"/>
      <c r="T284" s="25"/>
      <c r="U284" s="25"/>
    </row>
    <row r="285" spans="1:21" x14ac:dyDescent="0.25">
      <c r="A285" s="25" t="str">
        <f t="shared" si="4"/>
        <v/>
      </c>
      <c r="B285" s="97"/>
      <c r="C285" s="205"/>
      <c r="D285" s="25"/>
      <c r="E285" s="25"/>
      <c r="F285" s="25"/>
      <c r="G285" s="25"/>
      <c r="H285" s="25"/>
      <c r="I285" s="25"/>
      <c r="J285" s="25"/>
      <c r="K285" s="25"/>
      <c r="L285" s="25"/>
      <c r="M285" s="25">
        <f>Tbl_2026[[#This Row],[Gross Wt.]]-(Tbl_2026[[#This Row],[Pskal]]+Tbl_2026[[#This Row],[Pack Wt.]])</f>
        <v>0</v>
      </c>
      <c r="N285" s="98"/>
      <c r="O285" s="25">
        <f>Tbl_2026[[#This Row],[Wt. Befor ratio]]*Tbl_2026[[#This Row],[Ratio]]</f>
        <v>0</v>
      </c>
      <c r="P285" s="25"/>
      <c r="Q285" s="25"/>
      <c r="R285" s="25"/>
      <c r="S285" s="25"/>
      <c r="T285" s="25"/>
      <c r="U285" s="25"/>
    </row>
    <row r="286" spans="1:21" x14ac:dyDescent="0.25">
      <c r="A286" s="25" t="str">
        <f t="shared" si="4"/>
        <v/>
      </c>
      <c r="B286" s="97"/>
      <c r="C286" s="205"/>
      <c r="D286" s="25"/>
      <c r="E286" s="25"/>
      <c r="F286" s="25"/>
      <c r="G286" s="25"/>
      <c r="H286" s="25"/>
      <c r="I286" s="25"/>
      <c r="J286" s="25"/>
      <c r="K286" s="25"/>
      <c r="L286" s="25"/>
      <c r="M286" s="25">
        <f>Tbl_2026[[#This Row],[Gross Wt.]]-(Tbl_2026[[#This Row],[Pskal]]+Tbl_2026[[#This Row],[Pack Wt.]])</f>
        <v>0</v>
      </c>
      <c r="N286" s="98"/>
      <c r="O286" s="25">
        <f>Tbl_2026[[#This Row],[Wt. Befor ratio]]*Tbl_2026[[#This Row],[Ratio]]</f>
        <v>0</v>
      </c>
      <c r="P286" s="25"/>
      <c r="Q286" s="25"/>
      <c r="R286" s="25"/>
      <c r="S286" s="25"/>
      <c r="T286" s="25"/>
      <c r="U286" s="25"/>
    </row>
    <row r="287" spans="1:21" x14ac:dyDescent="0.25">
      <c r="A287" s="25" t="str">
        <f t="shared" si="4"/>
        <v/>
      </c>
      <c r="B287" s="97"/>
      <c r="C287" s="205"/>
      <c r="D287" s="25"/>
      <c r="E287" s="25"/>
      <c r="F287" s="25"/>
      <c r="G287" s="25"/>
      <c r="H287" s="25"/>
      <c r="I287" s="25"/>
      <c r="J287" s="25"/>
      <c r="K287" s="25"/>
      <c r="L287" s="25"/>
      <c r="M287" s="25">
        <f>Tbl_2026[[#This Row],[Gross Wt.]]-(Tbl_2026[[#This Row],[Pskal]]+Tbl_2026[[#This Row],[Pack Wt.]])</f>
        <v>0</v>
      </c>
      <c r="N287" s="98"/>
      <c r="O287" s="25">
        <f>Tbl_2026[[#This Row],[Wt. Befor ratio]]*Tbl_2026[[#This Row],[Ratio]]</f>
        <v>0</v>
      </c>
      <c r="P287" s="25"/>
      <c r="Q287" s="25"/>
      <c r="R287" s="25"/>
      <c r="S287" s="25"/>
      <c r="T287" s="25"/>
      <c r="U287" s="25"/>
    </row>
    <row r="288" spans="1:21" x14ac:dyDescent="0.25">
      <c r="A288" s="25" t="str">
        <f t="shared" si="4"/>
        <v/>
      </c>
      <c r="B288" s="97"/>
      <c r="C288" s="205"/>
      <c r="D288" s="25"/>
      <c r="E288" s="25"/>
      <c r="F288" s="25"/>
      <c r="G288" s="25"/>
      <c r="H288" s="25"/>
      <c r="I288" s="25"/>
      <c r="J288" s="25"/>
      <c r="K288" s="25"/>
      <c r="L288" s="25"/>
      <c r="M288" s="25">
        <f>Tbl_2026[[#This Row],[Gross Wt.]]-(Tbl_2026[[#This Row],[Pskal]]+Tbl_2026[[#This Row],[Pack Wt.]])</f>
        <v>0</v>
      </c>
      <c r="N288" s="98"/>
      <c r="O288" s="25">
        <f>Tbl_2026[[#This Row],[Wt. Befor ratio]]*Tbl_2026[[#This Row],[Ratio]]</f>
        <v>0</v>
      </c>
      <c r="P288" s="25"/>
      <c r="Q288" s="25"/>
      <c r="R288" s="25"/>
      <c r="S288" s="25"/>
      <c r="T288" s="25"/>
      <c r="U288" s="25"/>
    </row>
    <row r="289" spans="1:21" x14ac:dyDescent="0.25">
      <c r="A289" s="25" t="str">
        <f t="shared" si="4"/>
        <v/>
      </c>
      <c r="B289" s="97"/>
      <c r="C289" s="205"/>
      <c r="D289" s="25"/>
      <c r="E289" s="25"/>
      <c r="F289" s="25"/>
      <c r="G289" s="25"/>
      <c r="H289" s="25"/>
      <c r="I289" s="25"/>
      <c r="J289" s="25"/>
      <c r="K289" s="25"/>
      <c r="L289" s="25"/>
      <c r="M289" s="25">
        <f>Tbl_2026[[#This Row],[Gross Wt.]]-(Tbl_2026[[#This Row],[Pskal]]+Tbl_2026[[#This Row],[Pack Wt.]])</f>
        <v>0</v>
      </c>
      <c r="N289" s="98"/>
      <c r="O289" s="25">
        <f>Tbl_2026[[#This Row],[Wt. Befor ratio]]*Tbl_2026[[#This Row],[Ratio]]</f>
        <v>0</v>
      </c>
      <c r="P289" s="25"/>
      <c r="Q289" s="25"/>
      <c r="R289" s="25"/>
      <c r="S289" s="25"/>
      <c r="T289" s="25"/>
      <c r="U289" s="25"/>
    </row>
    <row r="290" spans="1:21" x14ac:dyDescent="0.25">
      <c r="A290" s="25" t="str">
        <f t="shared" si="4"/>
        <v/>
      </c>
      <c r="B290" s="97"/>
      <c r="C290" s="205"/>
      <c r="D290" s="25"/>
      <c r="E290" s="25"/>
      <c r="F290" s="25"/>
      <c r="G290" s="25"/>
      <c r="H290" s="25"/>
      <c r="I290" s="25"/>
      <c r="J290" s="25"/>
      <c r="K290" s="25"/>
      <c r="L290" s="25"/>
      <c r="M290" s="25">
        <f>Tbl_2026[[#This Row],[Gross Wt.]]-(Tbl_2026[[#This Row],[Pskal]]+Tbl_2026[[#This Row],[Pack Wt.]])</f>
        <v>0</v>
      </c>
      <c r="N290" s="98"/>
      <c r="O290" s="25">
        <f>Tbl_2026[[#This Row],[Wt. Befor ratio]]*Tbl_2026[[#This Row],[Ratio]]</f>
        <v>0</v>
      </c>
      <c r="P290" s="25"/>
      <c r="Q290" s="25"/>
      <c r="R290" s="25"/>
      <c r="S290" s="25"/>
      <c r="T290" s="25"/>
      <c r="U290" s="25"/>
    </row>
    <row r="291" spans="1:21" x14ac:dyDescent="0.25">
      <c r="A291" s="25" t="str">
        <f t="shared" si="4"/>
        <v/>
      </c>
      <c r="B291" s="97"/>
      <c r="C291" s="205"/>
      <c r="D291" s="25"/>
      <c r="E291" s="25"/>
      <c r="F291" s="25"/>
      <c r="G291" s="25"/>
      <c r="H291" s="25"/>
      <c r="I291" s="25"/>
      <c r="J291" s="25"/>
      <c r="K291" s="25"/>
      <c r="L291" s="25"/>
      <c r="M291" s="25">
        <f>Tbl_2026[[#This Row],[Gross Wt.]]-(Tbl_2026[[#This Row],[Pskal]]+Tbl_2026[[#This Row],[Pack Wt.]])</f>
        <v>0</v>
      </c>
      <c r="N291" s="98"/>
      <c r="O291" s="25">
        <f>Tbl_2026[[#This Row],[Wt. Befor ratio]]*Tbl_2026[[#This Row],[Ratio]]</f>
        <v>0</v>
      </c>
      <c r="P291" s="25"/>
      <c r="Q291" s="25"/>
      <c r="R291" s="25"/>
      <c r="S291" s="25"/>
      <c r="T291" s="25"/>
      <c r="U291" s="25"/>
    </row>
    <row r="292" spans="1:21" x14ac:dyDescent="0.25">
      <c r="A292" s="25" t="str">
        <f t="shared" si="4"/>
        <v/>
      </c>
      <c r="B292" s="97"/>
      <c r="C292" s="205"/>
      <c r="D292" s="25"/>
      <c r="E292" s="25"/>
      <c r="F292" s="25"/>
      <c r="G292" s="25"/>
      <c r="H292" s="25"/>
      <c r="I292" s="25"/>
      <c r="J292" s="25"/>
      <c r="K292" s="25"/>
      <c r="L292" s="25"/>
      <c r="M292" s="25">
        <f>Tbl_2026[[#This Row],[Gross Wt.]]-(Tbl_2026[[#This Row],[Pskal]]+Tbl_2026[[#This Row],[Pack Wt.]])</f>
        <v>0</v>
      </c>
      <c r="N292" s="98"/>
      <c r="O292" s="25">
        <f>Tbl_2026[[#This Row],[Wt. Befor ratio]]*Tbl_2026[[#This Row],[Ratio]]</f>
        <v>0</v>
      </c>
      <c r="P292" s="25"/>
      <c r="Q292" s="25"/>
      <c r="R292" s="25"/>
      <c r="S292" s="25"/>
      <c r="T292" s="25"/>
      <c r="U292" s="25"/>
    </row>
    <row r="293" spans="1:21" x14ac:dyDescent="0.25">
      <c r="A293" s="25" t="str">
        <f t="shared" si="4"/>
        <v/>
      </c>
      <c r="B293" s="97"/>
      <c r="C293" s="205"/>
      <c r="D293" s="25"/>
      <c r="E293" s="25"/>
      <c r="F293" s="25"/>
      <c r="G293" s="25"/>
      <c r="H293" s="25"/>
      <c r="I293" s="25"/>
      <c r="J293" s="25"/>
      <c r="K293" s="25"/>
      <c r="L293" s="25"/>
      <c r="M293" s="25">
        <f>Tbl_2026[[#This Row],[Gross Wt.]]-(Tbl_2026[[#This Row],[Pskal]]+Tbl_2026[[#This Row],[Pack Wt.]])</f>
        <v>0</v>
      </c>
      <c r="N293" s="98"/>
      <c r="O293" s="25">
        <f>Tbl_2026[[#This Row],[Wt. Befor ratio]]*Tbl_2026[[#This Row],[Ratio]]</f>
        <v>0</v>
      </c>
      <c r="P293" s="25"/>
      <c r="Q293" s="25"/>
      <c r="R293" s="25"/>
      <c r="S293" s="25"/>
      <c r="T293" s="25"/>
      <c r="U293" s="25"/>
    </row>
    <row r="294" spans="1:21" x14ac:dyDescent="0.25">
      <c r="A294" s="25" t="str">
        <f t="shared" si="4"/>
        <v/>
      </c>
      <c r="B294" s="97"/>
      <c r="C294" s="205"/>
      <c r="D294" s="25"/>
      <c r="E294" s="25"/>
      <c r="F294" s="25"/>
      <c r="G294" s="25"/>
      <c r="H294" s="25"/>
      <c r="I294" s="25"/>
      <c r="J294" s="25"/>
      <c r="K294" s="25"/>
      <c r="L294" s="25"/>
      <c r="M294" s="25">
        <f>Tbl_2026[[#This Row],[Gross Wt.]]-(Tbl_2026[[#This Row],[Pskal]]+Tbl_2026[[#This Row],[Pack Wt.]])</f>
        <v>0</v>
      </c>
      <c r="N294" s="98"/>
      <c r="O294" s="25">
        <f>Tbl_2026[[#This Row],[Wt. Befor ratio]]*Tbl_2026[[#This Row],[Ratio]]</f>
        <v>0</v>
      </c>
      <c r="P294" s="25"/>
      <c r="Q294" s="25"/>
      <c r="R294" s="25"/>
      <c r="S294" s="25"/>
      <c r="T294" s="25"/>
      <c r="U294" s="25"/>
    </row>
    <row r="295" spans="1:21" x14ac:dyDescent="0.25">
      <c r="A295" s="25" t="str">
        <f t="shared" si="4"/>
        <v/>
      </c>
      <c r="B295" s="97"/>
      <c r="C295" s="205"/>
      <c r="D295" s="25"/>
      <c r="E295" s="25"/>
      <c r="F295" s="25"/>
      <c r="G295" s="25"/>
      <c r="H295" s="25"/>
      <c r="I295" s="25"/>
      <c r="J295" s="25"/>
      <c r="K295" s="25"/>
      <c r="L295" s="25"/>
      <c r="M295" s="25">
        <f>Tbl_2026[[#This Row],[Gross Wt.]]-(Tbl_2026[[#This Row],[Pskal]]+Tbl_2026[[#This Row],[Pack Wt.]])</f>
        <v>0</v>
      </c>
      <c r="N295" s="98"/>
      <c r="O295" s="25">
        <f>Tbl_2026[[#This Row],[Wt. Befor ratio]]*Tbl_2026[[#This Row],[Ratio]]</f>
        <v>0</v>
      </c>
      <c r="P295" s="25"/>
      <c r="Q295" s="25"/>
      <c r="R295" s="25"/>
      <c r="S295" s="25"/>
      <c r="T295" s="25"/>
      <c r="U295" s="25"/>
    </row>
    <row r="296" spans="1:21" x14ac:dyDescent="0.25">
      <c r="A296" s="25" t="str">
        <f t="shared" si="4"/>
        <v/>
      </c>
      <c r="B296" s="97"/>
      <c r="C296" s="205"/>
      <c r="D296" s="25"/>
      <c r="E296" s="25"/>
      <c r="F296" s="25"/>
      <c r="G296" s="25"/>
      <c r="H296" s="25"/>
      <c r="I296" s="25"/>
      <c r="J296" s="25"/>
      <c r="K296" s="25"/>
      <c r="L296" s="25"/>
      <c r="M296" s="25">
        <f>Tbl_2026[[#This Row],[Gross Wt.]]-(Tbl_2026[[#This Row],[Pskal]]+Tbl_2026[[#This Row],[Pack Wt.]])</f>
        <v>0</v>
      </c>
      <c r="N296" s="98"/>
      <c r="O296" s="25">
        <f>Tbl_2026[[#This Row],[Wt. Befor ratio]]*Tbl_2026[[#This Row],[Ratio]]</f>
        <v>0</v>
      </c>
      <c r="P296" s="25"/>
      <c r="Q296" s="25"/>
      <c r="R296" s="25"/>
      <c r="S296" s="25"/>
      <c r="T296" s="25"/>
      <c r="U296" s="25"/>
    </row>
    <row r="297" spans="1:21" x14ac:dyDescent="0.25">
      <c r="A297" s="25" t="str">
        <f t="shared" si="4"/>
        <v/>
      </c>
      <c r="B297" s="97"/>
      <c r="C297" s="205"/>
      <c r="D297" s="25"/>
      <c r="E297" s="25"/>
      <c r="F297" s="25"/>
      <c r="G297" s="25"/>
      <c r="H297" s="25"/>
      <c r="I297" s="25"/>
      <c r="J297" s="25"/>
      <c r="K297" s="25"/>
      <c r="L297" s="25"/>
      <c r="M297" s="25">
        <f>Tbl_2026[[#This Row],[Gross Wt.]]-(Tbl_2026[[#This Row],[Pskal]]+Tbl_2026[[#This Row],[Pack Wt.]])</f>
        <v>0</v>
      </c>
      <c r="N297" s="98"/>
      <c r="O297" s="25">
        <f>Tbl_2026[[#This Row],[Wt. Befor ratio]]*Tbl_2026[[#This Row],[Ratio]]</f>
        <v>0</v>
      </c>
      <c r="P297" s="25"/>
      <c r="Q297" s="25"/>
      <c r="R297" s="25"/>
      <c r="S297" s="25"/>
      <c r="T297" s="25"/>
      <c r="U297" s="25"/>
    </row>
    <row r="298" spans="1:21" x14ac:dyDescent="0.25">
      <c r="A298" s="25" t="str">
        <f t="shared" si="4"/>
        <v/>
      </c>
      <c r="B298" s="97"/>
      <c r="C298" s="205"/>
      <c r="D298" s="25"/>
      <c r="E298" s="25"/>
      <c r="F298" s="25"/>
      <c r="G298" s="25"/>
      <c r="H298" s="25"/>
      <c r="I298" s="25"/>
      <c r="J298" s="25"/>
      <c r="K298" s="25"/>
      <c r="L298" s="25"/>
      <c r="M298" s="25">
        <f>Tbl_2026[[#This Row],[Gross Wt.]]-(Tbl_2026[[#This Row],[Pskal]]+Tbl_2026[[#This Row],[Pack Wt.]])</f>
        <v>0</v>
      </c>
      <c r="N298" s="98"/>
      <c r="O298" s="25">
        <f>Tbl_2026[[#This Row],[Wt. Befor ratio]]*Tbl_2026[[#This Row],[Ratio]]</f>
        <v>0</v>
      </c>
      <c r="P298" s="25"/>
      <c r="Q298" s="25"/>
      <c r="R298" s="25"/>
      <c r="S298" s="25"/>
      <c r="T298" s="25"/>
      <c r="U298" s="25"/>
    </row>
    <row r="299" spans="1:21" x14ac:dyDescent="0.25">
      <c r="A299" s="25" t="str">
        <f t="shared" si="4"/>
        <v/>
      </c>
      <c r="B299" s="97"/>
      <c r="C299" s="205"/>
      <c r="D299" s="25"/>
      <c r="E299" s="25"/>
      <c r="F299" s="25"/>
      <c r="G299" s="25"/>
      <c r="H299" s="25"/>
      <c r="I299" s="25"/>
      <c r="J299" s="25"/>
      <c r="K299" s="25"/>
      <c r="L299" s="25"/>
      <c r="M299" s="25">
        <f>Tbl_2026[[#This Row],[Gross Wt.]]-(Tbl_2026[[#This Row],[Pskal]]+Tbl_2026[[#This Row],[Pack Wt.]])</f>
        <v>0</v>
      </c>
      <c r="N299" s="98"/>
      <c r="O299" s="25">
        <f>Tbl_2026[[#This Row],[Wt. Befor ratio]]*Tbl_2026[[#This Row],[Ratio]]</f>
        <v>0</v>
      </c>
      <c r="P299" s="25"/>
      <c r="Q299" s="25"/>
      <c r="R299" s="25"/>
      <c r="S299" s="25"/>
      <c r="T299" s="25"/>
      <c r="U299" s="25"/>
    </row>
    <row r="300" spans="1:21" x14ac:dyDescent="0.25">
      <c r="A300" s="25" t="str">
        <f t="shared" si="4"/>
        <v/>
      </c>
      <c r="B300" s="97"/>
      <c r="C300" s="205"/>
      <c r="D300" s="25"/>
      <c r="E300" s="25"/>
      <c r="F300" s="25"/>
      <c r="G300" s="25"/>
      <c r="H300" s="25"/>
      <c r="I300" s="25"/>
      <c r="J300" s="25"/>
      <c r="K300" s="25"/>
      <c r="L300" s="25"/>
      <c r="M300" s="25">
        <f>Tbl_2026[[#This Row],[Gross Wt.]]-(Tbl_2026[[#This Row],[Pskal]]+Tbl_2026[[#This Row],[Pack Wt.]])</f>
        <v>0</v>
      </c>
      <c r="N300" s="98"/>
      <c r="O300" s="25">
        <f>Tbl_2026[[#This Row],[Wt. Befor ratio]]*Tbl_2026[[#This Row],[Ratio]]</f>
        <v>0</v>
      </c>
      <c r="P300" s="25"/>
      <c r="Q300" s="25"/>
      <c r="R300" s="25"/>
      <c r="S300" s="25"/>
      <c r="T300" s="25"/>
      <c r="U300" s="25"/>
    </row>
    <row r="301" spans="1:21" x14ac:dyDescent="0.25">
      <c r="A301" s="25" t="str">
        <f t="shared" si="4"/>
        <v/>
      </c>
      <c r="B301" s="97"/>
      <c r="C301" s="205"/>
      <c r="D301" s="25"/>
      <c r="E301" s="25"/>
      <c r="F301" s="25"/>
      <c r="G301" s="25"/>
      <c r="H301" s="25"/>
      <c r="I301" s="25"/>
      <c r="J301" s="25"/>
      <c r="K301" s="25"/>
      <c r="L301" s="25"/>
      <c r="M301" s="25">
        <f>Tbl_2026[[#This Row],[Gross Wt.]]-(Tbl_2026[[#This Row],[Pskal]]+Tbl_2026[[#This Row],[Pack Wt.]])</f>
        <v>0</v>
      </c>
      <c r="N301" s="98"/>
      <c r="O301" s="25">
        <f>Tbl_2026[[#This Row],[Wt. Befor ratio]]*Tbl_2026[[#This Row],[Ratio]]</f>
        <v>0</v>
      </c>
      <c r="P301" s="25"/>
      <c r="Q301" s="25"/>
      <c r="R301" s="25"/>
      <c r="S301" s="25"/>
      <c r="T301" s="25"/>
      <c r="U301" s="25"/>
    </row>
    <row r="302" spans="1:21" x14ac:dyDescent="0.25">
      <c r="A302" s="25" t="str">
        <f t="shared" si="4"/>
        <v/>
      </c>
      <c r="B302" s="97"/>
      <c r="C302" s="205"/>
      <c r="D302" s="25"/>
      <c r="E302" s="25"/>
      <c r="F302" s="25"/>
      <c r="G302" s="25"/>
      <c r="H302" s="25"/>
      <c r="I302" s="25"/>
      <c r="J302" s="25"/>
      <c r="K302" s="25"/>
      <c r="L302" s="25"/>
      <c r="M302" s="25">
        <f>Tbl_2026[[#This Row],[Gross Wt.]]-(Tbl_2026[[#This Row],[Pskal]]+Tbl_2026[[#This Row],[Pack Wt.]])</f>
        <v>0</v>
      </c>
      <c r="N302" s="98"/>
      <c r="O302" s="25">
        <f>Tbl_2026[[#This Row],[Wt. Befor ratio]]*Tbl_2026[[#This Row],[Ratio]]</f>
        <v>0</v>
      </c>
      <c r="P302" s="25"/>
      <c r="Q302" s="25"/>
      <c r="R302" s="25"/>
      <c r="S302" s="25"/>
      <c r="T302" s="25"/>
      <c r="U302" s="25"/>
    </row>
    <row r="303" spans="1:21" x14ac:dyDescent="0.25">
      <c r="A303" s="25" t="str">
        <f t="shared" si="4"/>
        <v/>
      </c>
      <c r="B303" s="97"/>
      <c r="C303" s="205"/>
      <c r="D303" s="25"/>
      <c r="E303" s="25"/>
      <c r="F303" s="25"/>
      <c r="G303" s="25"/>
      <c r="H303" s="25"/>
      <c r="I303" s="25"/>
      <c r="J303" s="25"/>
      <c r="K303" s="25"/>
      <c r="L303" s="25"/>
      <c r="M303" s="25">
        <f>Tbl_2026[[#This Row],[Gross Wt.]]-(Tbl_2026[[#This Row],[Pskal]]+Tbl_2026[[#This Row],[Pack Wt.]])</f>
        <v>0</v>
      </c>
      <c r="N303" s="98"/>
      <c r="O303" s="25">
        <f>Tbl_2026[[#This Row],[Wt. Befor ratio]]*Tbl_2026[[#This Row],[Ratio]]</f>
        <v>0</v>
      </c>
      <c r="P303" s="25"/>
      <c r="Q303" s="25"/>
      <c r="R303" s="25"/>
      <c r="S303" s="25"/>
      <c r="T303" s="25"/>
      <c r="U303" s="25"/>
    </row>
    <row r="304" spans="1:21" x14ac:dyDescent="0.25">
      <c r="A304" s="25" t="str">
        <f t="shared" si="4"/>
        <v/>
      </c>
      <c r="B304" s="97"/>
      <c r="C304" s="205"/>
      <c r="D304" s="25"/>
      <c r="E304" s="25"/>
      <c r="F304" s="25"/>
      <c r="G304" s="25"/>
      <c r="H304" s="25"/>
      <c r="I304" s="25"/>
      <c r="J304" s="25"/>
      <c r="K304" s="25"/>
      <c r="L304" s="25"/>
      <c r="M304" s="25">
        <f>Tbl_2026[[#This Row],[Gross Wt.]]-(Tbl_2026[[#This Row],[Pskal]]+Tbl_2026[[#This Row],[Pack Wt.]])</f>
        <v>0</v>
      </c>
      <c r="N304" s="98"/>
      <c r="O304" s="25">
        <f>Tbl_2026[[#This Row],[Wt. Befor ratio]]*Tbl_2026[[#This Row],[Ratio]]</f>
        <v>0</v>
      </c>
      <c r="P304" s="25"/>
      <c r="Q304" s="25"/>
      <c r="R304" s="25"/>
      <c r="S304" s="25"/>
      <c r="T304" s="25"/>
      <c r="U304" s="25"/>
    </row>
    <row r="305" spans="1:21" x14ac:dyDescent="0.25">
      <c r="A305" s="25" t="str">
        <f t="shared" si="4"/>
        <v/>
      </c>
      <c r="B305" s="97"/>
      <c r="C305" s="205"/>
      <c r="D305" s="25"/>
      <c r="E305" s="25"/>
      <c r="F305" s="25"/>
      <c r="G305" s="25"/>
      <c r="H305" s="25"/>
      <c r="I305" s="25"/>
      <c r="J305" s="25"/>
      <c r="K305" s="25"/>
      <c r="L305" s="25"/>
      <c r="M305" s="25">
        <f>Tbl_2026[[#This Row],[Gross Wt.]]-(Tbl_2026[[#This Row],[Pskal]]+Tbl_2026[[#This Row],[Pack Wt.]])</f>
        <v>0</v>
      </c>
      <c r="N305" s="98"/>
      <c r="O305" s="25">
        <f>Tbl_2026[[#This Row],[Wt. Befor ratio]]*Tbl_2026[[#This Row],[Ratio]]</f>
        <v>0</v>
      </c>
      <c r="P305" s="25"/>
      <c r="Q305" s="25"/>
      <c r="R305" s="25"/>
      <c r="S305" s="25"/>
      <c r="T305" s="25"/>
      <c r="U305" s="25"/>
    </row>
    <row r="306" spans="1:21" x14ac:dyDescent="0.25">
      <c r="A306" s="25" t="str">
        <f t="shared" si="4"/>
        <v/>
      </c>
      <c r="B306" s="97"/>
      <c r="C306" s="205"/>
      <c r="D306" s="25"/>
      <c r="E306" s="25"/>
      <c r="F306" s="25"/>
      <c r="G306" s="25"/>
      <c r="H306" s="25"/>
      <c r="I306" s="25"/>
      <c r="J306" s="25"/>
      <c r="K306" s="25"/>
      <c r="L306" s="25"/>
      <c r="M306" s="25">
        <f>Tbl_2026[[#This Row],[Gross Wt.]]-(Tbl_2026[[#This Row],[Pskal]]+Tbl_2026[[#This Row],[Pack Wt.]])</f>
        <v>0</v>
      </c>
      <c r="N306" s="98"/>
      <c r="O306" s="25">
        <f>Tbl_2026[[#This Row],[Wt. Befor ratio]]*Tbl_2026[[#This Row],[Ratio]]</f>
        <v>0</v>
      </c>
      <c r="P306" s="25"/>
      <c r="Q306" s="25"/>
      <c r="R306" s="25"/>
      <c r="S306" s="25"/>
      <c r="T306" s="25"/>
      <c r="U306" s="25"/>
    </row>
    <row r="307" spans="1:21" x14ac:dyDescent="0.25">
      <c r="A307" s="25" t="str">
        <f t="shared" si="4"/>
        <v/>
      </c>
      <c r="B307" s="97"/>
      <c r="C307" s="205"/>
      <c r="D307" s="25"/>
      <c r="E307" s="25"/>
      <c r="F307" s="25"/>
      <c r="G307" s="25"/>
      <c r="H307" s="25"/>
      <c r="I307" s="25"/>
      <c r="J307" s="25"/>
      <c r="K307" s="25"/>
      <c r="L307" s="25"/>
      <c r="M307" s="25">
        <f>Tbl_2026[[#This Row],[Gross Wt.]]-(Tbl_2026[[#This Row],[Pskal]]+Tbl_2026[[#This Row],[Pack Wt.]])</f>
        <v>0</v>
      </c>
      <c r="N307" s="98"/>
      <c r="O307" s="25">
        <f>Tbl_2026[[#This Row],[Wt. Befor ratio]]*Tbl_2026[[#This Row],[Ratio]]</f>
        <v>0</v>
      </c>
      <c r="P307" s="25"/>
      <c r="Q307" s="25"/>
      <c r="R307" s="25"/>
      <c r="S307" s="25"/>
      <c r="T307" s="25"/>
      <c r="U307" s="25"/>
    </row>
    <row r="308" spans="1:21" x14ac:dyDescent="0.25">
      <c r="A308" s="25" t="str">
        <f t="shared" si="4"/>
        <v/>
      </c>
      <c r="B308" s="97"/>
      <c r="C308" s="205"/>
      <c r="D308" s="25"/>
      <c r="E308" s="25"/>
      <c r="F308" s="25"/>
      <c r="G308" s="25"/>
      <c r="H308" s="25"/>
      <c r="I308" s="25"/>
      <c r="J308" s="25"/>
      <c r="K308" s="25"/>
      <c r="L308" s="25"/>
      <c r="M308" s="25">
        <f>Tbl_2026[[#This Row],[Gross Wt.]]-(Tbl_2026[[#This Row],[Pskal]]+Tbl_2026[[#This Row],[Pack Wt.]])</f>
        <v>0</v>
      </c>
      <c r="N308" s="98"/>
      <c r="O308" s="25">
        <f>Tbl_2026[[#This Row],[Wt. Befor ratio]]*Tbl_2026[[#This Row],[Ratio]]</f>
        <v>0</v>
      </c>
      <c r="P308" s="25"/>
      <c r="Q308" s="25"/>
      <c r="R308" s="25"/>
      <c r="S308" s="25"/>
      <c r="T308" s="25"/>
      <c r="U308" s="25"/>
    </row>
    <row r="309" spans="1:21" x14ac:dyDescent="0.25">
      <c r="A309" s="25" t="str">
        <f t="shared" si="4"/>
        <v/>
      </c>
      <c r="B309" s="97"/>
      <c r="C309" s="205"/>
      <c r="D309" s="25"/>
      <c r="E309" s="25"/>
      <c r="F309" s="25"/>
      <c r="G309" s="25"/>
      <c r="H309" s="25"/>
      <c r="I309" s="25"/>
      <c r="J309" s="25"/>
      <c r="K309" s="25"/>
      <c r="L309" s="25"/>
      <c r="M309" s="25">
        <f>Tbl_2026[[#This Row],[Gross Wt.]]-(Tbl_2026[[#This Row],[Pskal]]+Tbl_2026[[#This Row],[Pack Wt.]])</f>
        <v>0</v>
      </c>
      <c r="N309" s="98"/>
      <c r="O309" s="25">
        <f>Tbl_2026[[#This Row],[Wt. Befor ratio]]*Tbl_2026[[#This Row],[Ratio]]</f>
        <v>0</v>
      </c>
      <c r="P309" s="25"/>
      <c r="Q309" s="25"/>
      <c r="R309" s="25"/>
      <c r="S309" s="25"/>
      <c r="T309" s="25"/>
      <c r="U309" s="25"/>
    </row>
    <row r="310" spans="1:21" x14ac:dyDescent="0.25">
      <c r="A310" s="25" t="str">
        <f t="shared" si="4"/>
        <v/>
      </c>
      <c r="B310" s="97"/>
      <c r="C310" s="205"/>
      <c r="D310" s="25"/>
      <c r="E310" s="25"/>
      <c r="F310" s="25"/>
      <c r="G310" s="25"/>
      <c r="H310" s="25"/>
      <c r="I310" s="25"/>
      <c r="J310" s="25"/>
      <c r="K310" s="25"/>
      <c r="L310" s="25"/>
      <c r="M310" s="25">
        <f>Tbl_2026[[#This Row],[Gross Wt.]]-(Tbl_2026[[#This Row],[Pskal]]+Tbl_2026[[#This Row],[Pack Wt.]])</f>
        <v>0</v>
      </c>
      <c r="N310" s="98"/>
      <c r="O310" s="25">
        <f>Tbl_2026[[#This Row],[Wt. Befor ratio]]*Tbl_2026[[#This Row],[Ratio]]</f>
        <v>0</v>
      </c>
      <c r="P310" s="25"/>
      <c r="Q310" s="25"/>
      <c r="R310" s="25"/>
      <c r="S310" s="25"/>
      <c r="T310" s="25"/>
      <c r="U310" s="25"/>
    </row>
    <row r="311" spans="1:21" x14ac:dyDescent="0.25">
      <c r="A311" s="25" t="str">
        <f t="shared" si="4"/>
        <v/>
      </c>
      <c r="B311" s="97"/>
      <c r="C311" s="205"/>
      <c r="D311" s="25"/>
      <c r="E311" s="25"/>
      <c r="F311" s="25"/>
      <c r="G311" s="25"/>
      <c r="H311" s="25"/>
      <c r="I311" s="25"/>
      <c r="J311" s="25"/>
      <c r="K311" s="25"/>
      <c r="L311" s="25"/>
      <c r="M311" s="25">
        <f>Tbl_2026[[#This Row],[Gross Wt.]]-(Tbl_2026[[#This Row],[Pskal]]+Tbl_2026[[#This Row],[Pack Wt.]])</f>
        <v>0</v>
      </c>
      <c r="N311" s="98"/>
      <c r="O311" s="25">
        <f>Tbl_2026[[#This Row],[Wt. Befor ratio]]*Tbl_2026[[#This Row],[Ratio]]</f>
        <v>0</v>
      </c>
      <c r="P311" s="25"/>
      <c r="Q311" s="25"/>
      <c r="R311" s="25"/>
      <c r="S311" s="25"/>
      <c r="T311" s="25"/>
      <c r="U311" s="25"/>
    </row>
    <row r="312" spans="1:21" x14ac:dyDescent="0.25">
      <c r="A312" s="25" t="str">
        <f t="shared" si="4"/>
        <v/>
      </c>
      <c r="B312" s="97"/>
      <c r="C312" s="205"/>
      <c r="D312" s="25"/>
      <c r="E312" s="25"/>
      <c r="F312" s="25"/>
      <c r="G312" s="25"/>
      <c r="H312" s="25"/>
      <c r="I312" s="25"/>
      <c r="J312" s="25"/>
      <c r="K312" s="25"/>
      <c r="L312" s="25"/>
      <c r="M312" s="25">
        <f>Tbl_2026[[#This Row],[Gross Wt.]]-(Tbl_2026[[#This Row],[Pskal]]+Tbl_2026[[#This Row],[Pack Wt.]])</f>
        <v>0</v>
      </c>
      <c r="N312" s="98"/>
      <c r="O312" s="25">
        <f>Tbl_2026[[#This Row],[Wt. Befor ratio]]*Tbl_2026[[#This Row],[Ratio]]</f>
        <v>0</v>
      </c>
      <c r="P312" s="25"/>
      <c r="Q312" s="25"/>
      <c r="R312" s="25"/>
      <c r="S312" s="25"/>
      <c r="T312" s="25"/>
      <c r="U312" s="25"/>
    </row>
    <row r="313" spans="1:21" x14ac:dyDescent="0.25">
      <c r="A313" s="25" t="str">
        <f t="shared" si="4"/>
        <v/>
      </c>
      <c r="B313" s="97"/>
      <c r="C313" s="205"/>
      <c r="D313" s="25"/>
      <c r="E313" s="25"/>
      <c r="F313" s="25"/>
      <c r="G313" s="25"/>
      <c r="H313" s="25"/>
      <c r="I313" s="25"/>
      <c r="J313" s="25"/>
      <c r="K313" s="25"/>
      <c r="L313" s="25"/>
      <c r="M313" s="25">
        <f>Tbl_2026[[#This Row],[Gross Wt.]]-(Tbl_2026[[#This Row],[Pskal]]+Tbl_2026[[#This Row],[Pack Wt.]])</f>
        <v>0</v>
      </c>
      <c r="N313" s="98"/>
      <c r="O313" s="25">
        <f>Tbl_2026[[#This Row],[Wt. Befor ratio]]*Tbl_2026[[#This Row],[Ratio]]</f>
        <v>0</v>
      </c>
      <c r="P313" s="25"/>
      <c r="Q313" s="25"/>
      <c r="R313" s="25"/>
      <c r="S313" s="25"/>
      <c r="T313" s="25"/>
      <c r="U313" s="25"/>
    </row>
    <row r="314" spans="1:21" x14ac:dyDescent="0.25">
      <c r="A314" s="25" t="str">
        <f t="shared" si="4"/>
        <v/>
      </c>
      <c r="B314" s="97"/>
      <c r="C314" s="205"/>
      <c r="D314" s="25"/>
      <c r="E314" s="25"/>
      <c r="F314" s="25"/>
      <c r="G314" s="25"/>
      <c r="H314" s="25"/>
      <c r="I314" s="25"/>
      <c r="J314" s="25"/>
      <c r="K314" s="25"/>
      <c r="L314" s="25"/>
      <c r="M314" s="25">
        <f>Tbl_2026[[#This Row],[Gross Wt.]]-(Tbl_2026[[#This Row],[Pskal]]+Tbl_2026[[#This Row],[Pack Wt.]])</f>
        <v>0</v>
      </c>
      <c r="N314" s="98"/>
      <c r="O314" s="25">
        <f>Tbl_2026[[#This Row],[Wt. Befor ratio]]*Tbl_2026[[#This Row],[Ratio]]</f>
        <v>0</v>
      </c>
      <c r="P314" s="25"/>
      <c r="Q314" s="25"/>
      <c r="R314" s="25"/>
      <c r="S314" s="25"/>
      <c r="T314" s="25"/>
      <c r="U314" s="25"/>
    </row>
    <row r="315" spans="1:21" x14ac:dyDescent="0.25">
      <c r="A315" s="25" t="str">
        <f t="shared" si="4"/>
        <v/>
      </c>
      <c r="B315" s="97"/>
      <c r="C315" s="205"/>
      <c r="D315" s="25"/>
      <c r="E315" s="25"/>
      <c r="F315" s="25"/>
      <c r="G315" s="25"/>
      <c r="H315" s="25"/>
      <c r="I315" s="25"/>
      <c r="J315" s="25"/>
      <c r="K315" s="25"/>
      <c r="L315" s="25"/>
      <c r="M315" s="25">
        <f>Tbl_2026[[#This Row],[Gross Wt.]]-(Tbl_2026[[#This Row],[Pskal]]+Tbl_2026[[#This Row],[Pack Wt.]])</f>
        <v>0</v>
      </c>
      <c r="N315" s="98"/>
      <c r="O315" s="25">
        <f>Tbl_2026[[#This Row],[Wt. Befor ratio]]*Tbl_2026[[#This Row],[Ratio]]</f>
        <v>0</v>
      </c>
      <c r="P315" s="25"/>
      <c r="Q315" s="25"/>
      <c r="R315" s="25"/>
      <c r="S315" s="25"/>
      <c r="T315" s="25"/>
      <c r="U315" s="25"/>
    </row>
    <row r="316" spans="1:21" x14ac:dyDescent="0.25">
      <c r="A316" s="25" t="str">
        <f t="shared" si="4"/>
        <v/>
      </c>
      <c r="B316" s="97"/>
      <c r="C316" s="205"/>
      <c r="D316" s="25"/>
      <c r="E316" s="25"/>
      <c r="F316" s="25"/>
      <c r="G316" s="25"/>
      <c r="H316" s="25"/>
      <c r="I316" s="25"/>
      <c r="J316" s="25"/>
      <c r="K316" s="25"/>
      <c r="L316" s="25"/>
      <c r="M316" s="25">
        <f>Tbl_2026[[#This Row],[Gross Wt.]]-(Tbl_2026[[#This Row],[Pskal]]+Tbl_2026[[#This Row],[Pack Wt.]])</f>
        <v>0</v>
      </c>
      <c r="N316" s="98"/>
      <c r="O316" s="25">
        <f>Tbl_2026[[#This Row],[Wt. Befor ratio]]*Tbl_2026[[#This Row],[Ratio]]</f>
        <v>0</v>
      </c>
      <c r="P316" s="25"/>
      <c r="Q316" s="25"/>
      <c r="R316" s="25"/>
      <c r="S316" s="25"/>
      <c r="T316" s="25"/>
      <c r="U316" s="25"/>
    </row>
    <row r="317" spans="1:21" x14ac:dyDescent="0.25">
      <c r="A317" s="25" t="str">
        <f t="shared" si="4"/>
        <v/>
      </c>
      <c r="B317" s="97"/>
      <c r="C317" s="205"/>
      <c r="D317" s="25"/>
      <c r="E317" s="25"/>
      <c r="F317" s="25"/>
      <c r="G317" s="25"/>
      <c r="H317" s="25"/>
      <c r="I317" s="25"/>
      <c r="J317" s="25"/>
      <c r="K317" s="25"/>
      <c r="L317" s="25"/>
      <c r="M317" s="25">
        <f>Tbl_2026[[#This Row],[Gross Wt.]]-(Tbl_2026[[#This Row],[Pskal]]+Tbl_2026[[#This Row],[Pack Wt.]])</f>
        <v>0</v>
      </c>
      <c r="N317" s="98"/>
      <c r="O317" s="25">
        <f>Tbl_2026[[#This Row],[Wt. Befor ratio]]*Tbl_2026[[#This Row],[Ratio]]</f>
        <v>0</v>
      </c>
      <c r="P317" s="25"/>
      <c r="Q317" s="25"/>
      <c r="R317" s="25"/>
      <c r="S317" s="25"/>
      <c r="T317" s="25"/>
      <c r="U317" s="25"/>
    </row>
    <row r="318" spans="1:21" x14ac:dyDescent="0.25">
      <c r="A318" s="25" t="str">
        <f t="shared" si="4"/>
        <v/>
      </c>
      <c r="B318" s="97"/>
      <c r="C318" s="205"/>
      <c r="D318" s="25"/>
      <c r="E318" s="25"/>
      <c r="F318" s="25"/>
      <c r="G318" s="25"/>
      <c r="H318" s="25"/>
      <c r="I318" s="25"/>
      <c r="J318" s="25"/>
      <c r="K318" s="25"/>
      <c r="L318" s="25"/>
      <c r="M318" s="25">
        <f>Tbl_2026[[#This Row],[Gross Wt.]]-(Tbl_2026[[#This Row],[Pskal]]+Tbl_2026[[#This Row],[Pack Wt.]])</f>
        <v>0</v>
      </c>
      <c r="N318" s="98"/>
      <c r="O318" s="25">
        <f>Tbl_2026[[#This Row],[Wt. Befor ratio]]*Tbl_2026[[#This Row],[Ratio]]</f>
        <v>0</v>
      </c>
      <c r="P318" s="25"/>
      <c r="Q318" s="25"/>
      <c r="R318" s="25"/>
      <c r="S318" s="25"/>
      <c r="T318" s="25"/>
      <c r="U318" s="25"/>
    </row>
    <row r="319" spans="1:21" x14ac:dyDescent="0.25">
      <c r="A319" s="25" t="str">
        <f t="shared" si="4"/>
        <v/>
      </c>
      <c r="B319" s="97"/>
      <c r="C319" s="205"/>
      <c r="D319" s="25"/>
      <c r="E319" s="25"/>
      <c r="F319" s="25"/>
      <c r="G319" s="25"/>
      <c r="H319" s="25"/>
      <c r="I319" s="25"/>
      <c r="J319" s="25"/>
      <c r="K319" s="25"/>
      <c r="L319" s="25"/>
      <c r="M319" s="25">
        <f>Tbl_2026[[#This Row],[Gross Wt.]]-(Tbl_2026[[#This Row],[Pskal]]+Tbl_2026[[#This Row],[Pack Wt.]])</f>
        <v>0</v>
      </c>
      <c r="N319" s="98"/>
      <c r="O319" s="25">
        <f>Tbl_2026[[#This Row],[Wt. Befor ratio]]*Tbl_2026[[#This Row],[Ratio]]</f>
        <v>0</v>
      </c>
      <c r="P319" s="25"/>
      <c r="Q319" s="25"/>
      <c r="R319" s="25"/>
      <c r="S319" s="25"/>
      <c r="T319" s="25"/>
      <c r="U319" s="25"/>
    </row>
    <row r="320" spans="1:21" x14ac:dyDescent="0.25">
      <c r="A320" s="25" t="str">
        <f t="shared" si="4"/>
        <v/>
      </c>
      <c r="B320" s="97"/>
      <c r="C320" s="205"/>
      <c r="D320" s="25"/>
      <c r="E320" s="25"/>
      <c r="F320" s="25"/>
      <c r="G320" s="25"/>
      <c r="H320" s="25"/>
      <c r="I320" s="25"/>
      <c r="J320" s="25"/>
      <c r="K320" s="25"/>
      <c r="L320" s="25"/>
      <c r="M320" s="25">
        <f>Tbl_2026[[#This Row],[Gross Wt.]]-(Tbl_2026[[#This Row],[Pskal]]+Tbl_2026[[#This Row],[Pack Wt.]])</f>
        <v>0</v>
      </c>
      <c r="N320" s="98"/>
      <c r="O320" s="25">
        <f>Tbl_2026[[#This Row],[Wt. Befor ratio]]*Tbl_2026[[#This Row],[Ratio]]</f>
        <v>0</v>
      </c>
      <c r="P320" s="25"/>
      <c r="Q320" s="25"/>
      <c r="R320" s="25"/>
      <c r="S320" s="25"/>
      <c r="T320" s="25"/>
      <c r="U320" s="25"/>
    </row>
    <row r="321" spans="1:21" x14ac:dyDescent="0.25">
      <c r="A321" s="25" t="str">
        <f t="shared" si="4"/>
        <v/>
      </c>
      <c r="B321" s="97"/>
      <c r="C321" s="205"/>
      <c r="D321" s="25"/>
      <c r="E321" s="25"/>
      <c r="F321" s="25"/>
      <c r="G321" s="25"/>
      <c r="H321" s="25"/>
      <c r="I321" s="25"/>
      <c r="J321" s="25"/>
      <c r="K321" s="25"/>
      <c r="L321" s="25"/>
      <c r="M321" s="25">
        <f>Tbl_2026[[#This Row],[Gross Wt.]]-(Tbl_2026[[#This Row],[Pskal]]+Tbl_2026[[#This Row],[Pack Wt.]])</f>
        <v>0</v>
      </c>
      <c r="N321" s="98"/>
      <c r="O321" s="25">
        <f>Tbl_2026[[#This Row],[Wt. Befor ratio]]*Tbl_2026[[#This Row],[Ratio]]</f>
        <v>0</v>
      </c>
      <c r="P321" s="25"/>
      <c r="Q321" s="25"/>
      <c r="R321" s="25"/>
      <c r="S321" s="25"/>
      <c r="T321" s="25"/>
      <c r="U321" s="25"/>
    </row>
    <row r="322" spans="1:21" x14ac:dyDescent="0.25">
      <c r="A322" s="25" t="str">
        <f t="shared" si="4"/>
        <v/>
      </c>
      <c r="B322" s="97"/>
      <c r="C322" s="205"/>
      <c r="D322" s="25"/>
      <c r="E322" s="25"/>
      <c r="F322" s="25"/>
      <c r="G322" s="25"/>
      <c r="H322" s="25"/>
      <c r="I322" s="25"/>
      <c r="J322" s="25"/>
      <c r="K322" s="25"/>
      <c r="L322" s="25"/>
      <c r="M322" s="25">
        <f>Tbl_2026[[#This Row],[Gross Wt.]]-(Tbl_2026[[#This Row],[Pskal]]+Tbl_2026[[#This Row],[Pack Wt.]])</f>
        <v>0</v>
      </c>
      <c r="N322" s="98"/>
      <c r="O322" s="25">
        <f>Tbl_2026[[#This Row],[Wt. Befor ratio]]*Tbl_2026[[#This Row],[Ratio]]</f>
        <v>0</v>
      </c>
      <c r="P322" s="25"/>
      <c r="Q322" s="25"/>
      <c r="R322" s="25"/>
      <c r="S322" s="25"/>
      <c r="T322" s="25"/>
      <c r="U322" s="25"/>
    </row>
    <row r="323" spans="1:21" x14ac:dyDescent="0.25">
      <c r="A323" s="25" t="str">
        <f t="shared" si="4"/>
        <v/>
      </c>
      <c r="B323" s="97"/>
      <c r="C323" s="205"/>
      <c r="D323" s="25"/>
      <c r="E323" s="25"/>
      <c r="F323" s="25"/>
      <c r="G323" s="25"/>
      <c r="H323" s="25"/>
      <c r="I323" s="25"/>
      <c r="J323" s="25"/>
      <c r="K323" s="25"/>
      <c r="L323" s="25"/>
      <c r="M323" s="25">
        <f>Tbl_2026[[#This Row],[Gross Wt.]]-(Tbl_2026[[#This Row],[Pskal]]+Tbl_2026[[#This Row],[Pack Wt.]])</f>
        <v>0</v>
      </c>
      <c r="N323" s="98"/>
      <c r="O323" s="25">
        <f>Tbl_2026[[#This Row],[Wt. Befor ratio]]*Tbl_2026[[#This Row],[Ratio]]</f>
        <v>0</v>
      </c>
      <c r="P323" s="25"/>
      <c r="Q323" s="25"/>
      <c r="R323" s="25"/>
      <c r="S323" s="25"/>
      <c r="T323" s="25"/>
      <c r="U323" s="25"/>
    </row>
    <row r="324" spans="1:21" x14ac:dyDescent="0.25">
      <c r="A324" s="25" t="str">
        <f t="shared" ref="A324:A362" si="5">IF(B324&gt;0,A323+1,"")</f>
        <v/>
      </c>
      <c r="B324" s="97"/>
      <c r="C324" s="205"/>
      <c r="D324" s="25"/>
      <c r="E324" s="25"/>
      <c r="F324" s="25"/>
      <c r="G324" s="25"/>
      <c r="H324" s="25"/>
      <c r="I324" s="25"/>
      <c r="J324" s="25"/>
      <c r="K324" s="25"/>
      <c r="L324" s="25"/>
      <c r="M324" s="25">
        <f>Tbl_2026[[#This Row],[Gross Wt.]]-(Tbl_2026[[#This Row],[Pskal]]+Tbl_2026[[#This Row],[Pack Wt.]])</f>
        <v>0</v>
      </c>
      <c r="N324" s="98"/>
      <c r="O324" s="25">
        <f>Tbl_2026[[#This Row],[Wt. Befor ratio]]*Tbl_2026[[#This Row],[Ratio]]</f>
        <v>0</v>
      </c>
      <c r="P324" s="25"/>
      <c r="Q324" s="25"/>
      <c r="R324" s="25"/>
      <c r="S324" s="25"/>
      <c r="T324" s="25"/>
      <c r="U324" s="25"/>
    </row>
    <row r="325" spans="1:21" x14ac:dyDescent="0.25">
      <c r="A325" s="25" t="str">
        <f t="shared" si="5"/>
        <v/>
      </c>
      <c r="B325" s="97"/>
      <c r="C325" s="205"/>
      <c r="D325" s="25"/>
      <c r="E325" s="25"/>
      <c r="F325" s="25"/>
      <c r="G325" s="25"/>
      <c r="H325" s="25"/>
      <c r="I325" s="25"/>
      <c r="J325" s="25"/>
      <c r="K325" s="25"/>
      <c r="L325" s="25"/>
      <c r="M325" s="25">
        <f>Tbl_2026[[#This Row],[Gross Wt.]]-(Tbl_2026[[#This Row],[Pskal]]+Tbl_2026[[#This Row],[Pack Wt.]])</f>
        <v>0</v>
      </c>
      <c r="N325" s="98"/>
      <c r="O325" s="25">
        <f>Tbl_2026[[#This Row],[Wt. Befor ratio]]*Tbl_2026[[#This Row],[Ratio]]</f>
        <v>0</v>
      </c>
      <c r="P325" s="25"/>
      <c r="Q325" s="25"/>
      <c r="R325" s="25"/>
      <c r="S325" s="25"/>
      <c r="T325" s="25"/>
      <c r="U325" s="25"/>
    </row>
    <row r="326" spans="1:21" x14ac:dyDescent="0.25">
      <c r="A326" s="25" t="str">
        <f t="shared" si="5"/>
        <v/>
      </c>
      <c r="B326" s="97"/>
      <c r="C326" s="205"/>
      <c r="D326" s="25"/>
      <c r="E326" s="25"/>
      <c r="F326" s="25"/>
      <c r="G326" s="25"/>
      <c r="H326" s="25"/>
      <c r="I326" s="25"/>
      <c r="J326" s="25"/>
      <c r="K326" s="25"/>
      <c r="L326" s="25"/>
      <c r="M326" s="25">
        <f>Tbl_2026[[#This Row],[Gross Wt.]]-(Tbl_2026[[#This Row],[Pskal]]+Tbl_2026[[#This Row],[Pack Wt.]])</f>
        <v>0</v>
      </c>
      <c r="N326" s="98"/>
      <c r="O326" s="25">
        <f>Tbl_2026[[#This Row],[Wt. Befor ratio]]*Tbl_2026[[#This Row],[Ratio]]</f>
        <v>0</v>
      </c>
      <c r="P326" s="25"/>
      <c r="Q326" s="25"/>
      <c r="R326" s="25"/>
      <c r="S326" s="25"/>
      <c r="T326" s="25"/>
      <c r="U326" s="25"/>
    </row>
    <row r="327" spans="1:21" x14ac:dyDescent="0.25">
      <c r="A327" s="25" t="str">
        <f t="shared" si="5"/>
        <v/>
      </c>
      <c r="B327" s="97"/>
      <c r="C327" s="205"/>
      <c r="D327" s="25"/>
      <c r="E327" s="25"/>
      <c r="F327" s="25"/>
      <c r="G327" s="25"/>
      <c r="H327" s="25"/>
      <c r="I327" s="25"/>
      <c r="J327" s="25"/>
      <c r="K327" s="25"/>
      <c r="L327" s="25"/>
      <c r="M327" s="25">
        <f>Tbl_2026[[#This Row],[Gross Wt.]]-(Tbl_2026[[#This Row],[Pskal]]+Tbl_2026[[#This Row],[Pack Wt.]])</f>
        <v>0</v>
      </c>
      <c r="N327" s="98"/>
      <c r="O327" s="25">
        <f>Tbl_2026[[#This Row],[Wt. Befor ratio]]*Tbl_2026[[#This Row],[Ratio]]</f>
        <v>0</v>
      </c>
      <c r="P327" s="25"/>
      <c r="Q327" s="25"/>
      <c r="R327" s="25"/>
      <c r="S327" s="25"/>
      <c r="T327" s="25"/>
      <c r="U327" s="25"/>
    </row>
    <row r="328" spans="1:21" x14ac:dyDescent="0.25">
      <c r="A328" s="25" t="str">
        <f t="shared" si="5"/>
        <v/>
      </c>
      <c r="B328" s="97"/>
      <c r="C328" s="205"/>
      <c r="D328" s="25"/>
      <c r="E328" s="25"/>
      <c r="F328" s="25"/>
      <c r="G328" s="25"/>
      <c r="H328" s="25"/>
      <c r="I328" s="25"/>
      <c r="J328" s="25"/>
      <c r="K328" s="25"/>
      <c r="L328" s="25"/>
      <c r="M328" s="25">
        <f>Tbl_2026[[#This Row],[Gross Wt.]]-(Tbl_2026[[#This Row],[Pskal]]+Tbl_2026[[#This Row],[Pack Wt.]])</f>
        <v>0</v>
      </c>
      <c r="N328" s="98"/>
      <c r="O328" s="25">
        <f>Tbl_2026[[#This Row],[Wt. Befor ratio]]*Tbl_2026[[#This Row],[Ratio]]</f>
        <v>0</v>
      </c>
      <c r="P328" s="25"/>
      <c r="Q328" s="25"/>
      <c r="R328" s="25"/>
      <c r="S328" s="25"/>
      <c r="T328" s="25"/>
      <c r="U328" s="25"/>
    </row>
    <row r="329" spans="1:21" x14ac:dyDescent="0.25">
      <c r="A329" s="25" t="str">
        <f t="shared" si="5"/>
        <v/>
      </c>
      <c r="B329" s="97"/>
      <c r="C329" s="205"/>
      <c r="D329" s="25"/>
      <c r="E329" s="25"/>
      <c r="F329" s="25"/>
      <c r="G329" s="25"/>
      <c r="H329" s="25"/>
      <c r="I329" s="25"/>
      <c r="J329" s="25"/>
      <c r="K329" s="25"/>
      <c r="L329" s="25"/>
      <c r="M329" s="25">
        <f>Tbl_2026[[#This Row],[Gross Wt.]]-(Tbl_2026[[#This Row],[Pskal]]+Tbl_2026[[#This Row],[Pack Wt.]])</f>
        <v>0</v>
      </c>
      <c r="N329" s="98"/>
      <c r="O329" s="25">
        <f>Tbl_2026[[#This Row],[Wt. Befor ratio]]*Tbl_2026[[#This Row],[Ratio]]</f>
        <v>0</v>
      </c>
      <c r="P329" s="25"/>
      <c r="Q329" s="25"/>
      <c r="R329" s="25"/>
      <c r="S329" s="25"/>
      <c r="T329" s="25"/>
      <c r="U329" s="25"/>
    </row>
    <row r="330" spans="1:21" x14ac:dyDescent="0.25">
      <c r="A330" s="25" t="str">
        <f t="shared" si="5"/>
        <v/>
      </c>
      <c r="B330" s="97"/>
      <c r="C330" s="205"/>
      <c r="D330" s="25"/>
      <c r="E330" s="25"/>
      <c r="F330" s="25"/>
      <c r="G330" s="25"/>
      <c r="H330" s="25"/>
      <c r="I330" s="25"/>
      <c r="J330" s="25"/>
      <c r="K330" s="25"/>
      <c r="L330" s="25"/>
      <c r="M330" s="25">
        <f>Tbl_2026[[#This Row],[Gross Wt.]]-(Tbl_2026[[#This Row],[Pskal]]+Tbl_2026[[#This Row],[Pack Wt.]])</f>
        <v>0</v>
      </c>
      <c r="N330" s="98"/>
      <c r="O330" s="25">
        <f>Tbl_2026[[#This Row],[Wt. Befor ratio]]*Tbl_2026[[#This Row],[Ratio]]</f>
        <v>0</v>
      </c>
      <c r="P330" s="25"/>
      <c r="Q330" s="25"/>
      <c r="R330" s="25"/>
      <c r="S330" s="25"/>
      <c r="T330" s="25"/>
      <c r="U330" s="25"/>
    </row>
    <row r="331" spans="1:21" x14ac:dyDescent="0.25">
      <c r="A331" s="25" t="str">
        <f t="shared" si="5"/>
        <v/>
      </c>
      <c r="B331" s="97"/>
      <c r="C331" s="205"/>
      <c r="D331" s="25"/>
      <c r="E331" s="25"/>
      <c r="F331" s="25"/>
      <c r="G331" s="25"/>
      <c r="H331" s="25"/>
      <c r="I331" s="25"/>
      <c r="J331" s="25"/>
      <c r="K331" s="25"/>
      <c r="L331" s="25"/>
      <c r="M331" s="25">
        <f>Tbl_2026[[#This Row],[Gross Wt.]]-(Tbl_2026[[#This Row],[Pskal]]+Tbl_2026[[#This Row],[Pack Wt.]])</f>
        <v>0</v>
      </c>
      <c r="N331" s="98"/>
      <c r="O331" s="25">
        <f>Tbl_2026[[#This Row],[Wt. Befor ratio]]*Tbl_2026[[#This Row],[Ratio]]</f>
        <v>0</v>
      </c>
      <c r="P331" s="25"/>
      <c r="Q331" s="25"/>
      <c r="R331" s="25"/>
      <c r="S331" s="25"/>
      <c r="T331" s="25"/>
      <c r="U331" s="25"/>
    </row>
    <row r="332" spans="1:21" x14ac:dyDescent="0.25">
      <c r="A332" s="25" t="str">
        <f t="shared" si="5"/>
        <v/>
      </c>
      <c r="B332" s="97"/>
      <c r="C332" s="205"/>
      <c r="D332" s="25"/>
      <c r="E332" s="25"/>
      <c r="F332" s="25"/>
      <c r="G332" s="25"/>
      <c r="H332" s="25"/>
      <c r="I332" s="25"/>
      <c r="J332" s="25"/>
      <c r="K332" s="25"/>
      <c r="L332" s="25"/>
      <c r="M332" s="25">
        <f>Tbl_2026[[#This Row],[Gross Wt.]]-(Tbl_2026[[#This Row],[Pskal]]+Tbl_2026[[#This Row],[Pack Wt.]])</f>
        <v>0</v>
      </c>
      <c r="N332" s="98"/>
      <c r="O332" s="25">
        <f>Tbl_2026[[#This Row],[Wt. Befor ratio]]*Tbl_2026[[#This Row],[Ratio]]</f>
        <v>0</v>
      </c>
      <c r="P332" s="25"/>
      <c r="Q332" s="25"/>
      <c r="R332" s="25"/>
      <c r="S332" s="25"/>
      <c r="T332" s="25"/>
      <c r="U332" s="25"/>
    </row>
    <row r="333" spans="1:21" x14ac:dyDescent="0.25">
      <c r="A333" s="25" t="str">
        <f t="shared" si="5"/>
        <v/>
      </c>
      <c r="B333" s="97"/>
      <c r="C333" s="205"/>
      <c r="D333" s="25"/>
      <c r="E333" s="25"/>
      <c r="F333" s="25"/>
      <c r="G333" s="25"/>
      <c r="H333" s="25"/>
      <c r="I333" s="25"/>
      <c r="J333" s="25"/>
      <c r="K333" s="25"/>
      <c r="L333" s="25"/>
      <c r="M333" s="25">
        <f>Tbl_2026[[#This Row],[Gross Wt.]]-(Tbl_2026[[#This Row],[Pskal]]+Tbl_2026[[#This Row],[Pack Wt.]])</f>
        <v>0</v>
      </c>
      <c r="N333" s="98"/>
      <c r="O333" s="25">
        <f>Tbl_2026[[#This Row],[Wt. Befor ratio]]*Tbl_2026[[#This Row],[Ratio]]</f>
        <v>0</v>
      </c>
      <c r="P333" s="25"/>
      <c r="Q333" s="25"/>
      <c r="R333" s="25"/>
      <c r="S333" s="25"/>
      <c r="T333" s="25"/>
      <c r="U333" s="25"/>
    </row>
    <row r="334" spans="1:21" x14ac:dyDescent="0.25">
      <c r="A334" s="25" t="str">
        <f t="shared" si="5"/>
        <v/>
      </c>
      <c r="B334" s="97"/>
      <c r="C334" s="205"/>
      <c r="D334" s="25"/>
      <c r="E334" s="25"/>
      <c r="F334" s="25"/>
      <c r="G334" s="25"/>
      <c r="H334" s="25"/>
      <c r="I334" s="25"/>
      <c r="J334" s="25"/>
      <c r="K334" s="25"/>
      <c r="L334" s="25"/>
      <c r="M334" s="25">
        <f>Tbl_2026[[#This Row],[Gross Wt.]]-(Tbl_2026[[#This Row],[Pskal]]+Tbl_2026[[#This Row],[Pack Wt.]])</f>
        <v>0</v>
      </c>
      <c r="N334" s="98"/>
      <c r="O334" s="25">
        <f>Tbl_2026[[#This Row],[Wt. Befor ratio]]*Tbl_2026[[#This Row],[Ratio]]</f>
        <v>0</v>
      </c>
      <c r="P334" s="25"/>
      <c r="Q334" s="25"/>
      <c r="R334" s="25"/>
      <c r="S334" s="25"/>
      <c r="T334" s="25"/>
      <c r="U334" s="25"/>
    </row>
    <row r="335" spans="1:21" x14ac:dyDescent="0.25">
      <c r="A335" s="25" t="str">
        <f t="shared" si="5"/>
        <v/>
      </c>
      <c r="B335" s="97"/>
      <c r="C335" s="205"/>
      <c r="D335" s="25"/>
      <c r="E335" s="25"/>
      <c r="F335" s="25"/>
      <c r="G335" s="25"/>
      <c r="H335" s="25"/>
      <c r="I335" s="25"/>
      <c r="J335" s="25"/>
      <c r="K335" s="25"/>
      <c r="L335" s="25"/>
      <c r="M335" s="25">
        <f>Tbl_2026[[#This Row],[Gross Wt.]]-(Tbl_2026[[#This Row],[Pskal]]+Tbl_2026[[#This Row],[Pack Wt.]])</f>
        <v>0</v>
      </c>
      <c r="N335" s="98"/>
      <c r="O335" s="25">
        <f>Tbl_2026[[#This Row],[Wt. Befor ratio]]*Tbl_2026[[#This Row],[Ratio]]</f>
        <v>0</v>
      </c>
      <c r="P335" s="25"/>
      <c r="Q335" s="25"/>
      <c r="R335" s="25"/>
      <c r="S335" s="25"/>
      <c r="T335" s="25"/>
      <c r="U335" s="25"/>
    </row>
    <row r="336" spans="1:21" x14ac:dyDescent="0.25">
      <c r="A336" s="25" t="str">
        <f t="shared" si="5"/>
        <v/>
      </c>
      <c r="B336" s="97"/>
      <c r="C336" s="205"/>
      <c r="D336" s="25"/>
      <c r="E336" s="25"/>
      <c r="F336" s="25"/>
      <c r="G336" s="25"/>
      <c r="H336" s="25"/>
      <c r="I336" s="25"/>
      <c r="J336" s="25"/>
      <c r="K336" s="25"/>
      <c r="L336" s="25"/>
      <c r="M336" s="25">
        <f>Tbl_2026[[#This Row],[Gross Wt.]]-(Tbl_2026[[#This Row],[Pskal]]+Tbl_2026[[#This Row],[Pack Wt.]])</f>
        <v>0</v>
      </c>
      <c r="N336" s="98"/>
      <c r="O336" s="25">
        <f>Tbl_2026[[#This Row],[Wt. Befor ratio]]*Tbl_2026[[#This Row],[Ratio]]</f>
        <v>0</v>
      </c>
      <c r="P336" s="25"/>
      <c r="Q336" s="25"/>
      <c r="R336" s="25"/>
      <c r="S336" s="25"/>
      <c r="T336" s="25"/>
      <c r="U336" s="25"/>
    </row>
    <row r="337" spans="1:21" x14ac:dyDescent="0.25">
      <c r="A337" s="25" t="str">
        <f t="shared" si="5"/>
        <v/>
      </c>
      <c r="B337" s="97"/>
      <c r="C337" s="205"/>
      <c r="D337" s="25"/>
      <c r="E337" s="25"/>
      <c r="F337" s="25"/>
      <c r="G337" s="25"/>
      <c r="H337" s="25"/>
      <c r="I337" s="25"/>
      <c r="J337" s="25"/>
      <c r="K337" s="25"/>
      <c r="L337" s="25"/>
      <c r="M337" s="25">
        <f>Tbl_2026[[#This Row],[Gross Wt.]]-(Tbl_2026[[#This Row],[Pskal]]+Tbl_2026[[#This Row],[Pack Wt.]])</f>
        <v>0</v>
      </c>
      <c r="N337" s="98"/>
      <c r="O337" s="25">
        <f>Tbl_2026[[#This Row],[Wt. Befor ratio]]*Tbl_2026[[#This Row],[Ratio]]</f>
        <v>0</v>
      </c>
      <c r="P337" s="25"/>
      <c r="Q337" s="25"/>
      <c r="R337" s="25"/>
      <c r="S337" s="25"/>
      <c r="T337" s="25"/>
      <c r="U337" s="25"/>
    </row>
    <row r="338" spans="1:21" x14ac:dyDescent="0.25">
      <c r="A338" s="25" t="str">
        <f t="shared" si="5"/>
        <v/>
      </c>
      <c r="B338" s="97"/>
      <c r="C338" s="205"/>
      <c r="D338" s="25"/>
      <c r="E338" s="25"/>
      <c r="F338" s="25"/>
      <c r="G338" s="25"/>
      <c r="H338" s="25"/>
      <c r="I338" s="25"/>
      <c r="J338" s="25"/>
      <c r="K338" s="25"/>
      <c r="L338" s="25"/>
      <c r="M338" s="25">
        <f>Tbl_2026[[#This Row],[Gross Wt.]]-(Tbl_2026[[#This Row],[Pskal]]+Tbl_2026[[#This Row],[Pack Wt.]])</f>
        <v>0</v>
      </c>
      <c r="N338" s="98"/>
      <c r="O338" s="25">
        <f>Tbl_2026[[#This Row],[Wt. Befor ratio]]*Tbl_2026[[#This Row],[Ratio]]</f>
        <v>0</v>
      </c>
      <c r="P338" s="25"/>
      <c r="Q338" s="25"/>
      <c r="R338" s="25"/>
      <c r="S338" s="25"/>
      <c r="T338" s="25"/>
      <c r="U338" s="25"/>
    </row>
    <row r="339" spans="1:21" x14ac:dyDescent="0.25">
      <c r="A339" s="25" t="str">
        <f t="shared" si="5"/>
        <v/>
      </c>
      <c r="B339" s="97"/>
      <c r="C339" s="205"/>
      <c r="D339" s="25"/>
      <c r="E339" s="25"/>
      <c r="F339" s="25"/>
      <c r="G339" s="25"/>
      <c r="H339" s="25"/>
      <c r="I339" s="25"/>
      <c r="J339" s="25"/>
      <c r="K339" s="25"/>
      <c r="L339" s="25"/>
      <c r="M339" s="25">
        <f>Tbl_2026[[#This Row],[Gross Wt.]]-(Tbl_2026[[#This Row],[Pskal]]+Tbl_2026[[#This Row],[Pack Wt.]])</f>
        <v>0</v>
      </c>
      <c r="N339" s="98"/>
      <c r="O339" s="25">
        <f>Tbl_2026[[#This Row],[Wt. Befor ratio]]*Tbl_2026[[#This Row],[Ratio]]</f>
        <v>0</v>
      </c>
      <c r="P339" s="25"/>
      <c r="Q339" s="25"/>
      <c r="R339" s="25"/>
      <c r="S339" s="25"/>
      <c r="T339" s="25"/>
      <c r="U339" s="25"/>
    </row>
    <row r="340" spans="1:21" x14ac:dyDescent="0.25">
      <c r="A340" s="25" t="str">
        <f t="shared" si="5"/>
        <v/>
      </c>
      <c r="B340" s="97"/>
      <c r="C340" s="205"/>
      <c r="D340" s="25"/>
      <c r="E340" s="25"/>
      <c r="F340" s="25"/>
      <c r="G340" s="25"/>
      <c r="H340" s="25"/>
      <c r="I340" s="25"/>
      <c r="J340" s="25"/>
      <c r="K340" s="25"/>
      <c r="L340" s="25"/>
      <c r="M340" s="25">
        <f>Tbl_2026[[#This Row],[Gross Wt.]]-(Tbl_2026[[#This Row],[Pskal]]+Tbl_2026[[#This Row],[Pack Wt.]])</f>
        <v>0</v>
      </c>
      <c r="N340" s="98"/>
      <c r="O340" s="25">
        <f>Tbl_2026[[#This Row],[Wt. Befor ratio]]*Tbl_2026[[#This Row],[Ratio]]</f>
        <v>0</v>
      </c>
      <c r="P340" s="25"/>
      <c r="Q340" s="25"/>
      <c r="R340" s="25"/>
      <c r="S340" s="25"/>
      <c r="T340" s="25"/>
      <c r="U340" s="25"/>
    </row>
    <row r="341" spans="1:21" x14ac:dyDescent="0.25">
      <c r="A341" s="25" t="str">
        <f t="shared" si="5"/>
        <v/>
      </c>
      <c r="B341" s="97"/>
      <c r="C341" s="205"/>
      <c r="D341" s="25"/>
      <c r="E341" s="25"/>
      <c r="F341" s="25"/>
      <c r="G341" s="25"/>
      <c r="H341" s="25"/>
      <c r="I341" s="25"/>
      <c r="J341" s="25"/>
      <c r="K341" s="25"/>
      <c r="L341" s="25"/>
      <c r="M341" s="25">
        <f>Tbl_2026[[#This Row],[Gross Wt.]]-(Tbl_2026[[#This Row],[Pskal]]+Tbl_2026[[#This Row],[Pack Wt.]])</f>
        <v>0</v>
      </c>
      <c r="N341" s="98"/>
      <c r="O341" s="25">
        <f>Tbl_2026[[#This Row],[Wt. Befor ratio]]*Tbl_2026[[#This Row],[Ratio]]</f>
        <v>0</v>
      </c>
      <c r="P341" s="25"/>
      <c r="Q341" s="25"/>
      <c r="R341" s="25"/>
      <c r="S341" s="25"/>
      <c r="T341" s="25"/>
      <c r="U341" s="25"/>
    </row>
    <row r="342" spans="1:21" x14ac:dyDescent="0.25">
      <c r="A342" s="25" t="str">
        <f t="shared" si="5"/>
        <v/>
      </c>
      <c r="B342" s="97"/>
      <c r="C342" s="205"/>
      <c r="D342" s="25"/>
      <c r="E342" s="25"/>
      <c r="F342" s="25"/>
      <c r="G342" s="25"/>
      <c r="H342" s="25"/>
      <c r="I342" s="25"/>
      <c r="J342" s="25"/>
      <c r="K342" s="25"/>
      <c r="L342" s="25"/>
      <c r="M342" s="25">
        <f>Tbl_2026[[#This Row],[Gross Wt.]]-(Tbl_2026[[#This Row],[Pskal]]+Tbl_2026[[#This Row],[Pack Wt.]])</f>
        <v>0</v>
      </c>
      <c r="N342" s="98"/>
      <c r="O342" s="25">
        <f>Tbl_2026[[#This Row],[Wt. Befor ratio]]*Tbl_2026[[#This Row],[Ratio]]</f>
        <v>0</v>
      </c>
      <c r="P342" s="25"/>
      <c r="Q342" s="25"/>
      <c r="R342" s="25"/>
      <c r="S342" s="25"/>
      <c r="T342" s="25"/>
      <c r="U342" s="25"/>
    </row>
    <row r="343" spans="1:21" x14ac:dyDescent="0.25">
      <c r="A343" s="25" t="str">
        <f t="shared" si="5"/>
        <v/>
      </c>
      <c r="B343" s="97"/>
      <c r="C343" s="205"/>
      <c r="D343" s="25"/>
      <c r="E343" s="25"/>
      <c r="F343" s="25"/>
      <c r="G343" s="25"/>
      <c r="H343" s="25"/>
      <c r="I343" s="25"/>
      <c r="J343" s="25"/>
      <c r="K343" s="25"/>
      <c r="L343" s="25"/>
      <c r="M343" s="25">
        <f>Tbl_2026[[#This Row],[Gross Wt.]]-(Tbl_2026[[#This Row],[Pskal]]+Tbl_2026[[#This Row],[Pack Wt.]])</f>
        <v>0</v>
      </c>
      <c r="N343" s="98"/>
      <c r="O343" s="25">
        <f>Tbl_2026[[#This Row],[Wt. Befor ratio]]*Tbl_2026[[#This Row],[Ratio]]</f>
        <v>0</v>
      </c>
      <c r="P343" s="25"/>
      <c r="Q343" s="25"/>
      <c r="R343" s="25"/>
      <c r="S343" s="25"/>
      <c r="T343" s="25"/>
      <c r="U343" s="25"/>
    </row>
    <row r="344" spans="1:21" x14ac:dyDescent="0.25">
      <c r="A344" s="25" t="str">
        <f t="shared" si="5"/>
        <v/>
      </c>
      <c r="B344" s="97"/>
      <c r="C344" s="205"/>
      <c r="D344" s="25"/>
      <c r="E344" s="25"/>
      <c r="F344" s="25"/>
      <c r="G344" s="25"/>
      <c r="H344" s="25"/>
      <c r="I344" s="25"/>
      <c r="J344" s="25"/>
      <c r="K344" s="25"/>
      <c r="L344" s="25"/>
      <c r="M344" s="25">
        <f>Tbl_2026[[#This Row],[Gross Wt.]]-(Tbl_2026[[#This Row],[Pskal]]+Tbl_2026[[#This Row],[Pack Wt.]])</f>
        <v>0</v>
      </c>
      <c r="N344" s="98"/>
      <c r="O344" s="25">
        <f>Tbl_2026[[#This Row],[Wt. Befor ratio]]*Tbl_2026[[#This Row],[Ratio]]</f>
        <v>0</v>
      </c>
      <c r="P344" s="25"/>
      <c r="Q344" s="25"/>
      <c r="R344" s="25"/>
      <c r="S344" s="25"/>
      <c r="T344" s="25"/>
      <c r="U344" s="25"/>
    </row>
    <row r="345" spans="1:21" x14ac:dyDescent="0.25">
      <c r="A345" s="25" t="str">
        <f t="shared" si="5"/>
        <v/>
      </c>
      <c r="B345" s="97"/>
      <c r="C345" s="205"/>
      <c r="D345" s="25"/>
      <c r="E345" s="25"/>
      <c r="F345" s="25"/>
      <c r="G345" s="25"/>
      <c r="H345" s="25"/>
      <c r="I345" s="25"/>
      <c r="J345" s="25"/>
      <c r="K345" s="25"/>
      <c r="L345" s="25"/>
      <c r="M345" s="25">
        <f>Tbl_2026[[#This Row],[Gross Wt.]]-(Tbl_2026[[#This Row],[Pskal]]+Tbl_2026[[#This Row],[Pack Wt.]])</f>
        <v>0</v>
      </c>
      <c r="N345" s="98"/>
      <c r="O345" s="25">
        <f>Tbl_2026[[#This Row],[Wt. Befor ratio]]*Tbl_2026[[#This Row],[Ratio]]</f>
        <v>0</v>
      </c>
      <c r="P345" s="25"/>
      <c r="Q345" s="25"/>
      <c r="R345" s="25"/>
      <c r="S345" s="25"/>
      <c r="T345" s="25"/>
      <c r="U345" s="25"/>
    </row>
    <row r="346" spans="1:21" x14ac:dyDescent="0.25">
      <c r="A346" s="25" t="str">
        <f t="shared" si="5"/>
        <v/>
      </c>
      <c r="B346" s="97"/>
      <c r="C346" s="205"/>
      <c r="D346" s="25"/>
      <c r="E346" s="25"/>
      <c r="F346" s="25"/>
      <c r="G346" s="25"/>
      <c r="H346" s="25"/>
      <c r="I346" s="25"/>
      <c r="J346" s="25"/>
      <c r="K346" s="25"/>
      <c r="L346" s="25"/>
      <c r="M346" s="25">
        <f>Tbl_2026[[#This Row],[Gross Wt.]]-(Tbl_2026[[#This Row],[Pskal]]+Tbl_2026[[#This Row],[Pack Wt.]])</f>
        <v>0</v>
      </c>
      <c r="N346" s="98"/>
      <c r="O346" s="25">
        <f>Tbl_2026[[#This Row],[Wt. Befor ratio]]*Tbl_2026[[#This Row],[Ratio]]</f>
        <v>0</v>
      </c>
      <c r="P346" s="25"/>
      <c r="Q346" s="25"/>
      <c r="R346" s="25"/>
      <c r="S346" s="25"/>
      <c r="T346" s="25"/>
      <c r="U346" s="25"/>
    </row>
    <row r="347" spans="1:21" x14ac:dyDescent="0.25">
      <c r="A347" s="25" t="str">
        <f t="shared" si="5"/>
        <v/>
      </c>
      <c r="B347" s="97"/>
      <c r="C347" s="205"/>
      <c r="D347" s="25"/>
      <c r="E347" s="25"/>
      <c r="F347" s="25"/>
      <c r="G347" s="25"/>
      <c r="H347" s="25"/>
      <c r="I347" s="25"/>
      <c r="J347" s="25"/>
      <c r="K347" s="25"/>
      <c r="L347" s="25"/>
      <c r="M347" s="25">
        <f>Tbl_2026[[#This Row],[Gross Wt.]]-(Tbl_2026[[#This Row],[Pskal]]+Tbl_2026[[#This Row],[Pack Wt.]])</f>
        <v>0</v>
      </c>
      <c r="N347" s="98"/>
      <c r="O347" s="25">
        <f>Tbl_2026[[#This Row],[Wt. Befor ratio]]*Tbl_2026[[#This Row],[Ratio]]</f>
        <v>0</v>
      </c>
      <c r="P347" s="25"/>
      <c r="Q347" s="25"/>
      <c r="R347" s="25"/>
      <c r="S347" s="25"/>
      <c r="T347" s="25"/>
      <c r="U347" s="25"/>
    </row>
    <row r="348" spans="1:21" x14ac:dyDescent="0.25">
      <c r="A348" s="25" t="str">
        <f t="shared" si="5"/>
        <v/>
      </c>
      <c r="B348" s="97"/>
      <c r="C348" s="205"/>
      <c r="D348" s="25"/>
      <c r="E348" s="25"/>
      <c r="F348" s="25"/>
      <c r="G348" s="25"/>
      <c r="H348" s="25"/>
      <c r="I348" s="25"/>
      <c r="J348" s="25"/>
      <c r="K348" s="25"/>
      <c r="L348" s="25"/>
      <c r="M348" s="25">
        <f>Tbl_2026[[#This Row],[Gross Wt.]]-(Tbl_2026[[#This Row],[Pskal]]+Tbl_2026[[#This Row],[Pack Wt.]])</f>
        <v>0</v>
      </c>
      <c r="N348" s="98"/>
      <c r="O348" s="25">
        <f>Tbl_2026[[#This Row],[Wt. Befor ratio]]*Tbl_2026[[#This Row],[Ratio]]</f>
        <v>0</v>
      </c>
      <c r="P348" s="25"/>
      <c r="Q348" s="25"/>
      <c r="R348" s="25"/>
      <c r="S348" s="25"/>
      <c r="T348" s="25"/>
      <c r="U348" s="25"/>
    </row>
    <row r="349" spans="1:21" x14ac:dyDescent="0.25">
      <c r="A349" s="25" t="str">
        <f t="shared" si="5"/>
        <v/>
      </c>
      <c r="B349" s="97"/>
      <c r="C349" s="205"/>
      <c r="D349" s="25"/>
      <c r="E349" s="25"/>
      <c r="F349" s="25"/>
      <c r="G349" s="25"/>
      <c r="H349" s="25"/>
      <c r="I349" s="25"/>
      <c r="J349" s="25"/>
      <c r="K349" s="25"/>
      <c r="L349" s="25"/>
      <c r="M349" s="25">
        <f>Tbl_2026[[#This Row],[Gross Wt.]]-(Tbl_2026[[#This Row],[Pskal]]+Tbl_2026[[#This Row],[Pack Wt.]])</f>
        <v>0</v>
      </c>
      <c r="N349" s="98"/>
      <c r="O349" s="25">
        <f>Tbl_2026[[#This Row],[Wt. Befor ratio]]*Tbl_2026[[#This Row],[Ratio]]</f>
        <v>0</v>
      </c>
      <c r="P349" s="25"/>
      <c r="Q349" s="25"/>
      <c r="R349" s="25"/>
      <c r="S349" s="25"/>
      <c r="T349" s="25"/>
      <c r="U349" s="25"/>
    </row>
    <row r="350" spans="1:21" x14ac:dyDescent="0.25">
      <c r="A350" s="25" t="str">
        <f t="shared" si="5"/>
        <v/>
      </c>
      <c r="B350" s="97"/>
      <c r="C350" s="205"/>
      <c r="D350" s="25"/>
      <c r="E350" s="25"/>
      <c r="F350" s="25"/>
      <c r="G350" s="25"/>
      <c r="H350" s="25"/>
      <c r="I350" s="25"/>
      <c r="J350" s="25"/>
      <c r="K350" s="25"/>
      <c r="L350" s="25"/>
      <c r="M350" s="25">
        <f>Tbl_2026[[#This Row],[Gross Wt.]]-(Tbl_2026[[#This Row],[Pskal]]+Tbl_2026[[#This Row],[Pack Wt.]])</f>
        <v>0</v>
      </c>
      <c r="N350" s="98"/>
      <c r="O350" s="25">
        <f>Tbl_2026[[#This Row],[Wt. Befor ratio]]*Tbl_2026[[#This Row],[Ratio]]</f>
        <v>0</v>
      </c>
      <c r="P350" s="25"/>
      <c r="Q350" s="25"/>
      <c r="R350" s="25"/>
      <c r="S350" s="25"/>
      <c r="T350" s="25"/>
      <c r="U350" s="25"/>
    </row>
    <row r="351" spans="1:21" x14ac:dyDescent="0.25">
      <c r="A351" s="25" t="str">
        <f t="shared" si="5"/>
        <v/>
      </c>
      <c r="B351" s="97"/>
      <c r="C351" s="205"/>
      <c r="D351" s="25"/>
      <c r="E351" s="25"/>
      <c r="F351" s="25"/>
      <c r="G351" s="25"/>
      <c r="H351" s="25"/>
      <c r="I351" s="25"/>
      <c r="J351" s="25"/>
      <c r="K351" s="25"/>
      <c r="L351" s="25"/>
      <c r="M351" s="25">
        <f>Tbl_2026[[#This Row],[Gross Wt.]]-(Tbl_2026[[#This Row],[Pskal]]+Tbl_2026[[#This Row],[Pack Wt.]])</f>
        <v>0</v>
      </c>
      <c r="N351" s="98"/>
      <c r="O351" s="25">
        <f>Tbl_2026[[#This Row],[Wt. Befor ratio]]*Tbl_2026[[#This Row],[Ratio]]</f>
        <v>0</v>
      </c>
      <c r="P351" s="25"/>
      <c r="Q351" s="25"/>
      <c r="R351" s="25"/>
      <c r="S351" s="25"/>
      <c r="T351" s="25"/>
      <c r="U351" s="25"/>
    </row>
    <row r="352" spans="1:21" x14ac:dyDescent="0.25">
      <c r="A352" s="25" t="str">
        <f t="shared" si="5"/>
        <v/>
      </c>
      <c r="B352" s="97"/>
      <c r="C352" s="205"/>
      <c r="D352" s="25"/>
      <c r="E352" s="25"/>
      <c r="F352" s="25"/>
      <c r="G352" s="25"/>
      <c r="H352" s="25"/>
      <c r="I352" s="25"/>
      <c r="J352" s="25"/>
      <c r="K352" s="25"/>
      <c r="L352" s="25"/>
      <c r="M352" s="25">
        <f>Tbl_2026[[#This Row],[Gross Wt.]]-(Tbl_2026[[#This Row],[Pskal]]+Tbl_2026[[#This Row],[Pack Wt.]])</f>
        <v>0</v>
      </c>
      <c r="N352" s="98"/>
      <c r="O352" s="25">
        <f>Tbl_2026[[#This Row],[Wt. Befor ratio]]*Tbl_2026[[#This Row],[Ratio]]</f>
        <v>0</v>
      </c>
      <c r="P352" s="25"/>
      <c r="Q352" s="25"/>
      <c r="R352" s="25"/>
      <c r="S352" s="25"/>
      <c r="T352" s="25"/>
      <c r="U352" s="25"/>
    </row>
    <row r="353" spans="1:21" x14ac:dyDescent="0.25">
      <c r="A353" s="25" t="str">
        <f t="shared" si="5"/>
        <v/>
      </c>
      <c r="B353" s="97"/>
      <c r="C353" s="205"/>
      <c r="D353" s="25"/>
      <c r="E353" s="25"/>
      <c r="F353" s="25"/>
      <c r="G353" s="25"/>
      <c r="H353" s="25"/>
      <c r="I353" s="25"/>
      <c r="J353" s="25"/>
      <c r="K353" s="25"/>
      <c r="L353" s="25"/>
      <c r="M353" s="25">
        <f>Tbl_2026[[#This Row],[Gross Wt.]]-(Tbl_2026[[#This Row],[Pskal]]+Tbl_2026[[#This Row],[Pack Wt.]])</f>
        <v>0</v>
      </c>
      <c r="N353" s="98"/>
      <c r="O353" s="25">
        <f>Tbl_2026[[#This Row],[Wt. Befor ratio]]*Tbl_2026[[#This Row],[Ratio]]</f>
        <v>0</v>
      </c>
      <c r="P353" s="25"/>
      <c r="Q353" s="25"/>
      <c r="R353" s="25"/>
      <c r="S353" s="25"/>
      <c r="T353" s="25"/>
      <c r="U353" s="25"/>
    </row>
    <row r="354" spans="1:21" x14ac:dyDescent="0.25">
      <c r="A354" s="25" t="str">
        <f t="shared" si="5"/>
        <v/>
      </c>
      <c r="B354" s="97"/>
      <c r="C354" s="205"/>
      <c r="D354" s="25"/>
      <c r="E354" s="25"/>
      <c r="F354" s="25"/>
      <c r="G354" s="25"/>
      <c r="H354" s="25"/>
      <c r="I354" s="25"/>
      <c r="J354" s="25"/>
      <c r="K354" s="25"/>
      <c r="L354" s="25"/>
      <c r="M354" s="25">
        <f>Tbl_2026[[#This Row],[Gross Wt.]]-(Tbl_2026[[#This Row],[Pskal]]+Tbl_2026[[#This Row],[Pack Wt.]])</f>
        <v>0</v>
      </c>
      <c r="N354" s="98"/>
      <c r="O354" s="25">
        <f>Tbl_2026[[#This Row],[Wt. Befor ratio]]*Tbl_2026[[#This Row],[Ratio]]</f>
        <v>0</v>
      </c>
      <c r="P354" s="25"/>
      <c r="Q354" s="25"/>
      <c r="R354" s="25"/>
      <c r="S354" s="25"/>
      <c r="T354" s="25"/>
      <c r="U354" s="25"/>
    </row>
    <row r="355" spans="1:21" x14ac:dyDescent="0.25">
      <c r="A355" s="25" t="str">
        <f t="shared" si="5"/>
        <v/>
      </c>
      <c r="B355" s="97"/>
      <c r="C355" s="205"/>
      <c r="D355" s="25"/>
      <c r="E355" s="25"/>
      <c r="F355" s="25"/>
      <c r="G355" s="25"/>
      <c r="H355" s="25"/>
      <c r="I355" s="25"/>
      <c r="J355" s="25"/>
      <c r="K355" s="25"/>
      <c r="L355" s="25"/>
      <c r="M355" s="25">
        <f>Tbl_2026[[#This Row],[Gross Wt.]]-(Tbl_2026[[#This Row],[Pskal]]+Tbl_2026[[#This Row],[Pack Wt.]])</f>
        <v>0</v>
      </c>
      <c r="N355" s="98"/>
      <c r="O355" s="25">
        <f>Tbl_2026[[#This Row],[Wt. Befor ratio]]*Tbl_2026[[#This Row],[Ratio]]</f>
        <v>0</v>
      </c>
      <c r="P355" s="25"/>
      <c r="Q355" s="25"/>
      <c r="R355" s="25"/>
      <c r="S355" s="25"/>
      <c r="T355" s="25"/>
      <c r="U355" s="25"/>
    </row>
    <row r="356" spans="1:21" x14ac:dyDescent="0.25">
      <c r="A356" s="25" t="str">
        <f t="shared" si="5"/>
        <v/>
      </c>
      <c r="B356" s="97"/>
      <c r="C356" s="205"/>
      <c r="D356" s="25"/>
      <c r="E356" s="25"/>
      <c r="F356" s="25"/>
      <c r="G356" s="25"/>
      <c r="H356" s="25"/>
      <c r="I356" s="25"/>
      <c r="J356" s="25"/>
      <c r="K356" s="25"/>
      <c r="L356" s="25"/>
      <c r="M356" s="25">
        <f>Tbl_2026[[#This Row],[Gross Wt.]]-(Tbl_2026[[#This Row],[Pskal]]+Tbl_2026[[#This Row],[Pack Wt.]])</f>
        <v>0</v>
      </c>
      <c r="N356" s="98"/>
      <c r="O356" s="25">
        <f>Tbl_2026[[#This Row],[Wt. Befor ratio]]*Tbl_2026[[#This Row],[Ratio]]</f>
        <v>0</v>
      </c>
      <c r="P356" s="25"/>
      <c r="Q356" s="25"/>
      <c r="R356" s="25"/>
      <c r="S356" s="25"/>
      <c r="T356" s="25"/>
      <c r="U356" s="25"/>
    </row>
    <row r="357" spans="1:21" x14ac:dyDescent="0.25">
      <c r="A357" s="25" t="str">
        <f t="shared" si="5"/>
        <v/>
      </c>
      <c r="B357" s="97"/>
      <c r="C357" s="205"/>
      <c r="D357" s="25"/>
      <c r="E357" s="25"/>
      <c r="F357" s="25"/>
      <c r="G357" s="25"/>
      <c r="H357" s="25"/>
      <c r="I357" s="25"/>
      <c r="J357" s="25"/>
      <c r="K357" s="25"/>
      <c r="L357" s="25"/>
      <c r="M357" s="25">
        <f>Tbl_2026[[#This Row],[Gross Wt.]]-(Tbl_2026[[#This Row],[Pskal]]+Tbl_2026[[#This Row],[Pack Wt.]])</f>
        <v>0</v>
      </c>
      <c r="N357" s="98"/>
      <c r="O357" s="25">
        <f>Tbl_2026[[#This Row],[Wt. Befor ratio]]*Tbl_2026[[#This Row],[Ratio]]</f>
        <v>0</v>
      </c>
      <c r="P357" s="25"/>
      <c r="Q357" s="25"/>
      <c r="R357" s="25"/>
      <c r="S357" s="25"/>
      <c r="T357" s="25"/>
      <c r="U357" s="25"/>
    </row>
    <row r="358" spans="1:21" x14ac:dyDescent="0.25">
      <c r="A358" s="25" t="str">
        <f t="shared" si="5"/>
        <v/>
      </c>
      <c r="B358" s="97"/>
      <c r="C358" s="205"/>
      <c r="D358" s="25"/>
      <c r="E358" s="25"/>
      <c r="F358" s="25"/>
      <c r="G358" s="25"/>
      <c r="H358" s="25"/>
      <c r="I358" s="25"/>
      <c r="J358" s="25"/>
      <c r="K358" s="25"/>
      <c r="L358" s="25"/>
      <c r="M358" s="25">
        <f>Tbl_2026[[#This Row],[Gross Wt.]]-(Tbl_2026[[#This Row],[Pskal]]+Tbl_2026[[#This Row],[Pack Wt.]])</f>
        <v>0</v>
      </c>
      <c r="N358" s="98"/>
      <c r="O358" s="25">
        <f>Tbl_2026[[#This Row],[Wt. Befor ratio]]*Tbl_2026[[#This Row],[Ratio]]</f>
        <v>0</v>
      </c>
      <c r="P358" s="25"/>
      <c r="Q358" s="25"/>
      <c r="R358" s="25"/>
      <c r="S358" s="25"/>
      <c r="T358" s="25"/>
      <c r="U358" s="25"/>
    </row>
    <row r="359" spans="1:21" x14ac:dyDescent="0.25">
      <c r="A359" s="25" t="str">
        <f t="shared" si="5"/>
        <v/>
      </c>
      <c r="B359" s="97"/>
      <c r="C359" s="205"/>
      <c r="D359" s="25"/>
      <c r="E359" s="25"/>
      <c r="F359" s="25"/>
      <c r="G359" s="25"/>
      <c r="H359" s="25"/>
      <c r="I359" s="25"/>
      <c r="J359" s="25"/>
      <c r="K359" s="25"/>
      <c r="L359" s="25"/>
      <c r="M359" s="25">
        <f>Tbl_2026[[#This Row],[Gross Wt.]]-(Tbl_2026[[#This Row],[Pskal]]+Tbl_2026[[#This Row],[Pack Wt.]])</f>
        <v>0</v>
      </c>
      <c r="N359" s="98"/>
      <c r="O359" s="25">
        <f>Tbl_2026[[#This Row],[Wt. Befor ratio]]*Tbl_2026[[#This Row],[Ratio]]</f>
        <v>0</v>
      </c>
      <c r="P359" s="25"/>
      <c r="Q359" s="25"/>
      <c r="R359" s="25"/>
      <c r="S359" s="25"/>
      <c r="T359" s="25"/>
      <c r="U359" s="25"/>
    </row>
    <row r="360" spans="1:21" x14ac:dyDescent="0.25">
      <c r="A360" s="25" t="str">
        <f t="shared" si="5"/>
        <v/>
      </c>
      <c r="B360" s="97"/>
      <c r="C360" s="205"/>
      <c r="D360" s="25"/>
      <c r="E360" s="25"/>
      <c r="F360" s="25"/>
      <c r="G360" s="25"/>
      <c r="H360" s="25"/>
      <c r="I360" s="25"/>
      <c r="J360" s="25"/>
      <c r="K360" s="25"/>
      <c r="L360" s="25"/>
      <c r="M360" s="25">
        <f>Tbl_2026[[#This Row],[Gross Wt.]]-(Tbl_2026[[#This Row],[Pskal]]+Tbl_2026[[#This Row],[Pack Wt.]])</f>
        <v>0</v>
      </c>
      <c r="N360" s="98"/>
      <c r="O360" s="25">
        <f>Tbl_2026[[#This Row],[Wt. Befor ratio]]*Tbl_2026[[#This Row],[Ratio]]</f>
        <v>0</v>
      </c>
      <c r="P360" s="25"/>
      <c r="Q360" s="25"/>
      <c r="R360" s="25"/>
      <c r="S360" s="25"/>
      <c r="T360" s="25"/>
      <c r="U360" s="25"/>
    </row>
    <row r="361" spans="1:21" x14ac:dyDescent="0.25">
      <c r="A361" s="25" t="str">
        <f t="shared" si="5"/>
        <v/>
      </c>
      <c r="B361" s="97"/>
      <c r="C361" s="205"/>
      <c r="D361" s="25"/>
      <c r="E361" s="25"/>
      <c r="F361" s="25"/>
      <c r="G361" s="25"/>
      <c r="H361" s="25"/>
      <c r="I361" s="25"/>
      <c r="J361" s="25"/>
      <c r="K361" s="25"/>
      <c r="L361" s="25"/>
      <c r="M361" s="25">
        <f>Tbl_2026[[#This Row],[Gross Wt.]]-(Tbl_2026[[#This Row],[Pskal]]+Tbl_2026[[#This Row],[Pack Wt.]])</f>
        <v>0</v>
      </c>
      <c r="N361" s="98"/>
      <c r="O361" s="25">
        <f>Tbl_2026[[#This Row],[Wt. Befor ratio]]*Tbl_2026[[#This Row],[Ratio]]</f>
        <v>0</v>
      </c>
      <c r="P361" s="25"/>
      <c r="Q361" s="25"/>
      <c r="R361" s="25"/>
      <c r="S361" s="25"/>
      <c r="T361" s="25"/>
      <c r="U361" s="25"/>
    </row>
    <row r="362" spans="1:21" x14ac:dyDescent="0.25">
      <c r="A362" s="25" t="str">
        <f t="shared" si="5"/>
        <v/>
      </c>
      <c r="B362" s="97"/>
      <c r="C362" s="205"/>
      <c r="D362" s="25"/>
      <c r="E362" s="25"/>
      <c r="F362" s="25"/>
      <c r="G362" s="25"/>
      <c r="H362" s="25"/>
      <c r="I362" s="25"/>
      <c r="J362" s="25"/>
      <c r="K362" s="25"/>
      <c r="L362" s="25"/>
      <c r="M362" s="25">
        <f>Tbl_2026[[#This Row],[Gross Wt.]]-(Tbl_2026[[#This Row],[Pskal]]+Tbl_2026[[#This Row],[Pack Wt.]])</f>
        <v>0</v>
      </c>
      <c r="N362" s="98"/>
      <c r="O362" s="25">
        <f>Tbl_2026[[#This Row],[Wt. Befor ratio]]*Tbl_2026[[#This Row],[Ratio]]</f>
        <v>0</v>
      </c>
      <c r="P362" s="25"/>
      <c r="Q362" s="25"/>
      <c r="R362" s="25"/>
      <c r="S362" s="25"/>
      <c r="T362" s="25"/>
      <c r="U362" s="25"/>
    </row>
  </sheetData>
  <phoneticPr fontId="4" type="noConversion"/>
  <conditionalFormatting sqref="A2:B21 D2:U37 B2:B362 A22:A362 M38:M42 O38:S42 U38:U42 D43:D44 I43:U45 D45:G45 D46:U362">
    <cfRule type="expression" dxfId="31" priority="20">
      <formula>$P2="Canceled"</formula>
    </cfRule>
    <cfRule type="expression" dxfId="30" priority="21">
      <formula>$P2="Rejected"</formula>
    </cfRule>
  </conditionalFormatting>
  <conditionalFormatting sqref="B2:B362 A2:B21 D2:U37 A22:A362 M38:M42 O38:S42 U38:U42 D43:D44 I43:U45 D45:G45 D46:U362">
    <cfRule type="expression" dxfId="29" priority="19">
      <formula>$P2="Released"</formula>
    </cfRule>
  </conditionalFormatting>
  <conditionalFormatting sqref="B38:B42 D38:I42 E43:H44 H45">
    <cfRule type="expression" dxfId="28" priority="13">
      <formula>$P38="Released"</formula>
    </cfRule>
    <cfRule type="expression" dxfId="27" priority="14">
      <formula>$P38="Canceled"</formula>
    </cfRule>
    <cfRule type="expression" dxfId="26" priority="15">
      <formula>$P38="Rejected"</formula>
    </cfRule>
  </conditionalFormatting>
  <conditionalFormatting sqref="C2:C362">
    <cfRule type="expression" dxfId="25" priority="10">
      <formula>$P2="Rejected"</formula>
    </cfRule>
    <cfRule type="expression" dxfId="24" priority="11">
      <formula>$P2="Canceled"</formula>
    </cfRule>
    <cfRule type="expression" dxfId="23" priority="12">
      <formula>$P2="Released"</formula>
    </cfRule>
  </conditionalFormatting>
  <conditionalFormatting sqref="J38:L42">
    <cfRule type="expression" dxfId="22" priority="7">
      <formula>$P38="Released"</formula>
    </cfRule>
    <cfRule type="expression" dxfId="21" priority="8">
      <formula>$P38="Canceled"</formula>
    </cfRule>
    <cfRule type="expression" dxfId="20" priority="9">
      <formula>$P38="Rejected"</formula>
    </cfRule>
  </conditionalFormatting>
  <conditionalFormatting sqref="N38:N42">
    <cfRule type="expression" dxfId="19" priority="4">
      <formula>$P38="Released"</formula>
    </cfRule>
    <cfRule type="expression" dxfId="18" priority="5">
      <formula>$P38="Canceled"</formula>
    </cfRule>
    <cfRule type="expression" dxfId="17" priority="6">
      <formula>$P38="Rejected"</formula>
    </cfRule>
  </conditionalFormatting>
  <conditionalFormatting sqref="T38:T42">
    <cfRule type="expression" dxfId="16" priority="1">
      <formula>$P38="Released"</formula>
    </cfRule>
    <cfRule type="expression" dxfId="15" priority="2">
      <formula>$P38="Canceled"</formula>
    </cfRule>
    <cfRule type="expression" dxfId="14" priority="3">
      <formula>$P38="Rejected"</formula>
    </cfRule>
  </conditionalFormatting>
  <dataValidations count="5">
    <dataValidation type="list" allowBlank="1" showInputMessage="1" showErrorMessage="1" sqref="E2:E362" xr:uid="{58E20666-D577-48FC-AF39-72FC8E31928E}">
      <formula1>Products</formula1>
    </dataValidation>
    <dataValidation type="list" allowBlank="1" showInputMessage="1" showErrorMessage="1" sqref="D2:D362" xr:uid="{EFAB8472-F47E-4C0B-87A3-5A9BD63FF61B}">
      <formula1>Suppliers</formula1>
    </dataValidation>
    <dataValidation type="list" allowBlank="1" showInputMessage="1" showErrorMessage="1" sqref="F2:F362" xr:uid="{F5AD39CE-7B28-46AA-81CB-01136DB5B182}">
      <formula1>Spec</formula1>
    </dataValidation>
    <dataValidation type="list" allowBlank="1" showInputMessage="1" showErrorMessage="1" sqref="P2:P362" xr:uid="{54946C6B-4EB7-4A9C-B0BF-F81DACBE7E96}">
      <formula1>Status</formula1>
    </dataValidation>
    <dataValidation type="list" allowBlank="1" showInputMessage="1" showErrorMessage="1" sqref="H2:H1048576" xr:uid="{17D3BA1C-7DF3-4A82-839D-08663CF37E46}">
      <formula1>Packaging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5A38C14-8364-4FF4-A9F2-2F959D0E73CB}">
          <x14:formula1>
            <xm:f>List!$E$2:$E$7</xm:f>
          </x14:formula1>
          <xm:sqref>G2:G37 G45:G1048576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43F26-6E9A-4E61-A058-47C6F95F7915}">
  <sheetPr codeName="Sheet3"/>
  <dimension ref="A1:U112"/>
  <sheetViews>
    <sheetView zoomScale="85" zoomScaleNormal="85" workbookViewId="0">
      <selection activeCell="M8" sqref="M8"/>
    </sheetView>
  </sheetViews>
  <sheetFormatPr defaultColWidth="9.140625" defaultRowHeight="15" x14ac:dyDescent="0.25"/>
  <cols>
    <col min="1" max="3" width="11" customWidth="1"/>
    <col min="4" max="4" width="20.5703125" customWidth="1"/>
    <col min="5" max="5" width="16" bestFit="1" customWidth="1"/>
    <col min="6" max="6" width="14.42578125" bestFit="1" customWidth="1"/>
    <col min="7" max="7" width="13.7109375" bestFit="1" customWidth="1"/>
    <col min="8" max="9" width="11" customWidth="1"/>
    <col min="10" max="14" width="12" customWidth="1"/>
    <col min="15" max="15" width="25.28515625" customWidth="1"/>
    <col min="16" max="20" width="12" customWidth="1"/>
    <col min="21" max="21" width="131.5703125" bestFit="1" customWidth="1"/>
  </cols>
  <sheetData>
    <row r="1" spans="1:21" ht="30" x14ac:dyDescent="0.25">
      <c r="A1" s="10" t="s">
        <v>194</v>
      </c>
      <c r="B1" s="4" t="s">
        <v>9</v>
      </c>
      <c r="C1" s="2" t="s">
        <v>10</v>
      </c>
      <c r="D1" s="5" t="s">
        <v>11</v>
      </c>
      <c r="E1" s="2" t="s">
        <v>12</v>
      </c>
      <c r="F1" s="2" t="s">
        <v>63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7" t="s">
        <v>20</v>
      </c>
      <c r="O1" s="2" t="s">
        <v>21</v>
      </c>
      <c r="P1" s="2" t="s">
        <v>530</v>
      </c>
      <c r="Q1" s="2" t="s">
        <v>531</v>
      </c>
      <c r="R1" s="2" t="s">
        <v>529</v>
      </c>
      <c r="S1" s="2" t="s">
        <v>22</v>
      </c>
      <c r="T1" s="2" t="s">
        <v>23</v>
      </c>
      <c r="U1" s="3" t="s">
        <v>24</v>
      </c>
    </row>
    <row r="2" spans="1:21" ht="15.75" x14ac:dyDescent="0.25">
      <c r="A2" s="112">
        <v>139230</v>
      </c>
      <c r="B2" s="113">
        <v>45721</v>
      </c>
      <c r="C2" s="112" t="s">
        <v>111</v>
      </c>
      <c r="D2" s="112" t="s">
        <v>58</v>
      </c>
      <c r="E2" s="114" t="s">
        <v>211</v>
      </c>
      <c r="F2" s="112" t="s">
        <v>74</v>
      </c>
      <c r="G2" s="112" t="s">
        <v>254</v>
      </c>
      <c r="H2" s="112" t="s">
        <v>260</v>
      </c>
      <c r="I2" s="112">
        <v>818</v>
      </c>
      <c r="J2" s="112">
        <v>12214</v>
      </c>
      <c r="K2" s="112">
        <v>122</v>
      </c>
      <c r="L2" s="112">
        <v>205</v>
      </c>
      <c r="M2" s="112">
        <v>11887</v>
      </c>
      <c r="N2" s="115">
        <v>0.46</v>
      </c>
      <c r="O2" s="112">
        <f>Tbl_2025[[#This Row],[Ratio]]*Tbl_2025[[#This Row],[Wt. Befor ratio]]</f>
        <v>5468.02</v>
      </c>
      <c r="P2" s="112"/>
      <c r="Q2" s="112"/>
      <c r="R2" s="112"/>
      <c r="S2" s="112"/>
      <c r="T2" s="112" t="s">
        <v>83</v>
      </c>
      <c r="U2" s="164" t="s">
        <v>112</v>
      </c>
    </row>
    <row r="3" spans="1:21" ht="15.75" x14ac:dyDescent="0.25">
      <c r="A3" s="112">
        <v>139246</v>
      </c>
      <c r="B3" s="113">
        <v>45728</v>
      </c>
      <c r="C3" s="112" t="s">
        <v>113</v>
      </c>
      <c r="D3" s="112" t="s">
        <v>58</v>
      </c>
      <c r="E3" s="114" t="s">
        <v>211</v>
      </c>
      <c r="F3" s="112" t="s">
        <v>74</v>
      </c>
      <c r="G3" s="112" t="s">
        <v>253</v>
      </c>
      <c r="H3" s="112" t="s">
        <v>260</v>
      </c>
      <c r="I3" s="112">
        <v>700</v>
      </c>
      <c r="J3" s="112">
        <v>10845</v>
      </c>
      <c r="K3" s="112">
        <v>108</v>
      </c>
      <c r="L3" s="112">
        <v>175</v>
      </c>
      <c r="M3" s="112">
        <v>10562</v>
      </c>
      <c r="N3" s="115">
        <v>0.4</v>
      </c>
      <c r="O3" s="112">
        <f>Tbl_2025[[#This Row],[Ratio]]*Tbl_2025[[#This Row],[Wt. Befor ratio]]</f>
        <v>4224.8</v>
      </c>
      <c r="P3" s="112"/>
      <c r="Q3" s="112"/>
      <c r="R3" s="112"/>
      <c r="S3" s="112"/>
      <c r="T3" s="112" t="s">
        <v>83</v>
      </c>
      <c r="U3" s="164" t="s">
        <v>114</v>
      </c>
    </row>
    <row r="4" spans="1:21" ht="15.75" x14ac:dyDescent="0.25">
      <c r="A4" s="112">
        <v>139284</v>
      </c>
      <c r="B4" s="113">
        <v>45740</v>
      </c>
      <c r="C4" s="112" t="s">
        <v>118</v>
      </c>
      <c r="D4" s="112" t="s">
        <v>58</v>
      </c>
      <c r="E4" s="114" t="s">
        <v>211</v>
      </c>
      <c r="F4" s="112" t="s">
        <v>74</v>
      </c>
      <c r="G4" s="112" t="s">
        <v>252</v>
      </c>
      <c r="H4" s="112" t="s">
        <v>260</v>
      </c>
      <c r="I4" s="112">
        <v>626</v>
      </c>
      <c r="J4" s="112">
        <v>9430</v>
      </c>
      <c r="K4" s="112">
        <v>94</v>
      </c>
      <c r="L4" s="112">
        <v>157</v>
      </c>
      <c r="M4" s="112">
        <v>9179</v>
      </c>
      <c r="N4" s="115">
        <v>0.41</v>
      </c>
      <c r="O4" s="112">
        <f>Tbl_2025[[#This Row],[Ratio]]*Tbl_2025[[#This Row],[Wt. Befor ratio]]</f>
        <v>3763.39</v>
      </c>
      <c r="P4" s="112"/>
      <c r="Q4" s="112"/>
      <c r="R4" s="112"/>
      <c r="S4" s="112"/>
      <c r="T4" s="112" t="s">
        <v>83</v>
      </c>
      <c r="U4" s="164" t="s">
        <v>119</v>
      </c>
    </row>
    <row r="5" spans="1:21" ht="15.75" x14ac:dyDescent="0.25">
      <c r="A5" s="112">
        <v>139356</v>
      </c>
      <c r="B5" s="113">
        <v>45774</v>
      </c>
      <c r="C5" s="112" t="s">
        <v>120</v>
      </c>
      <c r="D5" s="112" t="s">
        <v>58</v>
      </c>
      <c r="E5" s="112" t="s">
        <v>239</v>
      </c>
      <c r="F5" s="112" t="s">
        <v>121</v>
      </c>
      <c r="G5" s="112" t="s">
        <v>252</v>
      </c>
      <c r="H5" s="112" t="s">
        <v>260</v>
      </c>
      <c r="I5" s="112">
        <v>68</v>
      </c>
      <c r="J5" s="112">
        <v>1260</v>
      </c>
      <c r="K5" s="112">
        <v>13</v>
      </c>
      <c r="L5" s="112">
        <v>17</v>
      </c>
      <c r="M5" s="112">
        <v>1230</v>
      </c>
      <c r="N5" s="115">
        <v>0.59</v>
      </c>
      <c r="O5" s="112">
        <f>Tbl_2025[[#This Row],[Ratio]]*Tbl_2025[[#This Row],[Wt. Befor ratio]]</f>
        <v>725.69999999999993</v>
      </c>
      <c r="P5" s="112"/>
      <c r="Q5" s="112"/>
      <c r="R5" s="112"/>
      <c r="S5" s="112"/>
      <c r="T5" s="112" t="s">
        <v>81</v>
      </c>
      <c r="U5" s="181" t="s">
        <v>142</v>
      </c>
    </row>
    <row r="6" spans="1:21" ht="15.75" x14ac:dyDescent="0.25">
      <c r="A6" s="112">
        <v>139361</v>
      </c>
      <c r="B6" s="113">
        <v>45775</v>
      </c>
      <c r="C6" s="112" t="s">
        <v>111</v>
      </c>
      <c r="D6" s="112" t="s">
        <v>35</v>
      </c>
      <c r="E6" s="112" t="s">
        <v>1</v>
      </c>
      <c r="F6" s="112" t="s">
        <v>122</v>
      </c>
      <c r="G6" s="112" t="s">
        <v>253</v>
      </c>
      <c r="H6" s="112" t="s">
        <v>260</v>
      </c>
      <c r="I6" s="112">
        <v>190</v>
      </c>
      <c r="J6" s="112">
        <v>2310</v>
      </c>
      <c r="K6" s="112">
        <v>23</v>
      </c>
      <c r="L6" s="112">
        <v>48</v>
      </c>
      <c r="M6" s="112">
        <v>2239</v>
      </c>
      <c r="N6" s="115">
        <v>1</v>
      </c>
      <c r="O6" s="112">
        <f>Tbl_2025[[#This Row],[Ratio]]*Tbl_2025[[#This Row],[Wt. Befor ratio]]</f>
        <v>2239</v>
      </c>
      <c r="P6" s="112"/>
      <c r="Q6" s="112"/>
      <c r="R6" s="112"/>
      <c r="S6" s="112"/>
      <c r="T6" s="112" t="s">
        <v>78</v>
      </c>
      <c r="U6" s="181"/>
    </row>
    <row r="7" spans="1:21" ht="15.75" x14ac:dyDescent="0.25">
      <c r="A7" s="112">
        <v>139385</v>
      </c>
      <c r="B7" s="113">
        <v>45783</v>
      </c>
      <c r="C7" s="112" t="s">
        <v>111</v>
      </c>
      <c r="D7" s="112" t="s">
        <v>52</v>
      </c>
      <c r="E7" s="112" t="s">
        <v>198</v>
      </c>
      <c r="F7" s="112" t="s">
        <v>123</v>
      </c>
      <c r="G7" s="112" t="s">
        <v>253</v>
      </c>
      <c r="H7" s="112" t="s">
        <v>260</v>
      </c>
      <c r="I7" s="112">
        <v>40</v>
      </c>
      <c r="J7" s="112">
        <v>1615</v>
      </c>
      <c r="K7" s="112">
        <v>16</v>
      </c>
      <c r="L7" s="112"/>
      <c r="M7" s="112">
        <v>1599</v>
      </c>
      <c r="N7" s="115">
        <v>0.93</v>
      </c>
      <c r="O7" s="112">
        <f>Tbl_2025[[#This Row],[Ratio]]*Tbl_2025[[#This Row],[Wt. Befor ratio]]</f>
        <v>1487.0700000000002</v>
      </c>
      <c r="P7" s="112"/>
      <c r="Q7" s="112"/>
      <c r="R7" s="112"/>
      <c r="S7" s="112"/>
      <c r="T7" s="112" t="s">
        <v>77</v>
      </c>
      <c r="U7" s="181"/>
    </row>
    <row r="8" spans="1:21" ht="15.75" x14ac:dyDescent="0.25">
      <c r="A8" s="112">
        <v>139401</v>
      </c>
      <c r="B8" s="113">
        <v>45788</v>
      </c>
      <c r="C8" s="112" t="s">
        <v>111</v>
      </c>
      <c r="D8" s="112" t="s">
        <v>432</v>
      </c>
      <c r="E8" s="112" t="s">
        <v>3</v>
      </c>
      <c r="F8" s="112" t="s">
        <v>99</v>
      </c>
      <c r="G8" s="112" t="s">
        <v>252</v>
      </c>
      <c r="H8" s="112" t="s">
        <v>260</v>
      </c>
      <c r="I8" s="112">
        <v>300</v>
      </c>
      <c r="J8" s="112">
        <v>7410</v>
      </c>
      <c r="K8" s="112">
        <v>50</v>
      </c>
      <c r="L8" s="112">
        <v>75</v>
      </c>
      <c r="M8" s="112">
        <v>7285</v>
      </c>
      <c r="N8" s="115">
        <v>0.58199999999999996</v>
      </c>
      <c r="O8" s="112">
        <f>Tbl_2025[[#This Row],[Ratio]]*Tbl_2025[[#This Row],[Wt. Befor ratio]]</f>
        <v>4239.87</v>
      </c>
      <c r="P8" s="112" t="s">
        <v>84</v>
      </c>
      <c r="Q8" s="112">
        <v>2909</v>
      </c>
      <c r="R8" s="113">
        <v>46025</v>
      </c>
      <c r="S8" s="112">
        <v>1</v>
      </c>
      <c r="T8" s="112" t="s">
        <v>124</v>
      </c>
      <c r="U8" s="181" t="s">
        <v>154</v>
      </c>
    </row>
    <row r="9" spans="1:21" ht="15.75" x14ac:dyDescent="0.25">
      <c r="A9" s="112">
        <v>139406</v>
      </c>
      <c r="B9" s="113">
        <v>45790</v>
      </c>
      <c r="C9" s="112" t="s">
        <v>113</v>
      </c>
      <c r="D9" s="112" t="s">
        <v>432</v>
      </c>
      <c r="E9" s="112" t="s">
        <v>3</v>
      </c>
      <c r="F9" s="112" t="s">
        <v>99</v>
      </c>
      <c r="G9" s="112" t="s">
        <v>252</v>
      </c>
      <c r="H9" s="112" t="s">
        <v>260</v>
      </c>
      <c r="I9" s="112">
        <v>483</v>
      </c>
      <c r="J9" s="112">
        <v>10885</v>
      </c>
      <c r="K9" s="112">
        <v>100</v>
      </c>
      <c r="L9" s="112">
        <v>120</v>
      </c>
      <c r="M9" s="112">
        <v>10665</v>
      </c>
      <c r="N9" s="115">
        <v>0.60499999999999998</v>
      </c>
      <c r="O9" s="112">
        <f>Tbl_2025[[#This Row],[Ratio]]*Tbl_2025[[#This Row],[Wt. Befor ratio]]</f>
        <v>6452.3249999999998</v>
      </c>
      <c r="P9" s="112"/>
      <c r="Q9" s="112"/>
      <c r="R9" s="112"/>
      <c r="S9" s="112"/>
      <c r="T9" s="112" t="s">
        <v>83</v>
      </c>
      <c r="U9" s="181" t="s">
        <v>107</v>
      </c>
    </row>
    <row r="10" spans="1:21" ht="15.75" x14ac:dyDescent="0.25">
      <c r="A10" s="112">
        <v>139409</v>
      </c>
      <c r="B10" s="113">
        <v>45790</v>
      </c>
      <c r="C10" s="112" t="s">
        <v>111</v>
      </c>
      <c r="D10" s="112" t="s">
        <v>27</v>
      </c>
      <c r="E10" s="112" t="s">
        <v>6</v>
      </c>
      <c r="F10" s="112" t="s">
        <v>125</v>
      </c>
      <c r="G10" s="112" t="s">
        <v>252</v>
      </c>
      <c r="H10" s="112" t="s">
        <v>260</v>
      </c>
      <c r="I10" s="112">
        <v>7</v>
      </c>
      <c r="J10" s="112">
        <v>50.2</v>
      </c>
      <c r="K10" s="112"/>
      <c r="L10" s="112">
        <v>0.2</v>
      </c>
      <c r="M10" s="112">
        <v>50</v>
      </c>
      <c r="N10" s="115">
        <v>1</v>
      </c>
      <c r="O10" s="112">
        <f>Tbl_2025[[#This Row],[Ratio]]*Tbl_2025[[#This Row],[Wt. Befor ratio]]</f>
        <v>50</v>
      </c>
      <c r="P10" s="112" t="s">
        <v>84</v>
      </c>
      <c r="Q10" s="112">
        <v>2935</v>
      </c>
      <c r="R10" s="113">
        <v>46055</v>
      </c>
      <c r="S10" s="112"/>
      <c r="T10" s="112" t="s">
        <v>78</v>
      </c>
      <c r="U10" s="181" t="s">
        <v>126</v>
      </c>
    </row>
    <row r="11" spans="1:21" ht="15.75" x14ac:dyDescent="0.25">
      <c r="A11" s="112">
        <v>139466</v>
      </c>
      <c r="B11" s="113">
        <v>45825</v>
      </c>
      <c r="C11" s="112" t="s">
        <v>127</v>
      </c>
      <c r="D11" s="112" t="s">
        <v>39</v>
      </c>
      <c r="E11" s="112" t="s">
        <v>1</v>
      </c>
      <c r="F11" s="112" t="s">
        <v>73</v>
      </c>
      <c r="G11" s="112" t="s">
        <v>253</v>
      </c>
      <c r="H11" s="112" t="s">
        <v>260</v>
      </c>
      <c r="I11" s="112">
        <v>225</v>
      </c>
      <c r="J11" s="112">
        <v>5200</v>
      </c>
      <c r="K11" s="112">
        <v>52</v>
      </c>
      <c r="L11" s="112">
        <v>56</v>
      </c>
      <c r="M11" s="112">
        <v>5092</v>
      </c>
      <c r="N11" s="115">
        <v>1</v>
      </c>
      <c r="O11" s="112">
        <f>Tbl_2025[[#This Row],[Ratio]]*Tbl_2025[[#This Row],[Wt. Befor ratio]]</f>
        <v>5092</v>
      </c>
      <c r="P11" s="112"/>
      <c r="Q11" s="112"/>
      <c r="R11" s="112"/>
      <c r="S11" s="112"/>
      <c r="T11" s="112" t="s">
        <v>78</v>
      </c>
      <c r="U11" s="182"/>
    </row>
    <row r="12" spans="1:21" x14ac:dyDescent="0.25">
      <c r="A12" s="112">
        <v>139483</v>
      </c>
      <c r="B12" s="113">
        <v>45832</v>
      </c>
      <c r="C12" s="112" t="s">
        <v>128</v>
      </c>
      <c r="D12" s="112" t="s">
        <v>39</v>
      </c>
      <c r="E12" s="112" t="s">
        <v>1</v>
      </c>
      <c r="F12" s="112" t="s">
        <v>73</v>
      </c>
      <c r="G12" s="112" t="s">
        <v>253</v>
      </c>
      <c r="H12" s="112" t="s">
        <v>260</v>
      </c>
      <c r="I12" s="112">
        <v>225</v>
      </c>
      <c r="J12" s="112">
        <v>5920</v>
      </c>
      <c r="K12" s="112">
        <v>59</v>
      </c>
      <c r="L12" s="112">
        <v>56</v>
      </c>
      <c r="M12" s="112">
        <v>5805</v>
      </c>
      <c r="N12" s="115">
        <v>1</v>
      </c>
      <c r="O12" s="112">
        <f>Tbl_2025[[#This Row],[Ratio]]*Tbl_2025[[#This Row],[Wt. Befor ratio]]</f>
        <v>5805</v>
      </c>
      <c r="P12" s="112"/>
      <c r="Q12" s="112"/>
      <c r="R12" s="112"/>
      <c r="S12" s="112"/>
      <c r="T12" s="112" t="s">
        <v>78</v>
      </c>
      <c r="U12" s="156"/>
    </row>
    <row r="13" spans="1:21" x14ac:dyDescent="0.25">
      <c r="A13" s="112">
        <v>139487</v>
      </c>
      <c r="B13" s="113">
        <v>45836</v>
      </c>
      <c r="C13" s="112" t="s">
        <v>129</v>
      </c>
      <c r="D13" s="112" t="s">
        <v>39</v>
      </c>
      <c r="E13" s="112" t="s">
        <v>1</v>
      </c>
      <c r="F13" s="112" t="s">
        <v>73</v>
      </c>
      <c r="G13" s="112" t="s">
        <v>253</v>
      </c>
      <c r="H13" s="112" t="s">
        <v>260</v>
      </c>
      <c r="I13" s="112">
        <v>250</v>
      </c>
      <c r="J13" s="112">
        <v>6210</v>
      </c>
      <c r="K13" s="112">
        <v>62</v>
      </c>
      <c r="L13" s="112">
        <v>63</v>
      </c>
      <c r="M13" s="112">
        <v>6085</v>
      </c>
      <c r="N13" s="115">
        <v>1</v>
      </c>
      <c r="O13" s="112">
        <f>Tbl_2025[[#This Row],[Ratio]]*Tbl_2025[[#This Row],[Wt. Befor ratio]]</f>
        <v>6085</v>
      </c>
      <c r="P13" s="112"/>
      <c r="Q13" s="112"/>
      <c r="R13" s="112"/>
      <c r="S13" s="112"/>
      <c r="T13" s="112" t="s">
        <v>78</v>
      </c>
      <c r="U13" s="156"/>
    </row>
    <row r="14" spans="1:21" x14ac:dyDescent="0.25">
      <c r="A14" s="112">
        <v>139495</v>
      </c>
      <c r="B14" s="113">
        <v>45839</v>
      </c>
      <c r="C14" s="112" t="s">
        <v>130</v>
      </c>
      <c r="D14" s="112" t="s">
        <v>39</v>
      </c>
      <c r="E14" s="112" t="s">
        <v>1</v>
      </c>
      <c r="F14" s="112" t="s">
        <v>73</v>
      </c>
      <c r="G14" s="112" t="s">
        <v>253</v>
      </c>
      <c r="H14" s="112" t="s">
        <v>260</v>
      </c>
      <c r="I14" s="112">
        <v>234</v>
      </c>
      <c r="J14" s="112">
        <v>5990</v>
      </c>
      <c r="K14" s="112">
        <v>60</v>
      </c>
      <c r="L14" s="112">
        <v>59</v>
      </c>
      <c r="M14" s="112">
        <v>5871</v>
      </c>
      <c r="N14" s="115">
        <v>1</v>
      </c>
      <c r="O14" s="112">
        <f>Tbl_2025[[#This Row],[Ratio]]*Tbl_2025[[#This Row],[Wt. Befor ratio]]</f>
        <v>5871</v>
      </c>
      <c r="P14" s="112"/>
      <c r="Q14" s="112"/>
      <c r="R14" s="112"/>
      <c r="S14" s="112"/>
      <c r="T14" s="112" t="s">
        <v>78</v>
      </c>
      <c r="U14" s="156"/>
    </row>
    <row r="15" spans="1:21" x14ac:dyDescent="0.25">
      <c r="A15" s="112">
        <v>139505</v>
      </c>
      <c r="B15" s="113">
        <v>45843</v>
      </c>
      <c r="C15" s="112" t="s">
        <v>131</v>
      </c>
      <c r="D15" s="112" t="s">
        <v>39</v>
      </c>
      <c r="E15" s="112" t="s">
        <v>1</v>
      </c>
      <c r="F15" s="112" t="s">
        <v>73</v>
      </c>
      <c r="G15" s="112" t="s">
        <v>253</v>
      </c>
      <c r="H15" s="112" t="s">
        <v>260</v>
      </c>
      <c r="I15" s="112">
        <v>240</v>
      </c>
      <c r="J15" s="112">
        <v>6240</v>
      </c>
      <c r="K15" s="112">
        <v>62</v>
      </c>
      <c r="L15" s="112">
        <v>60</v>
      </c>
      <c r="M15" s="112">
        <v>6118</v>
      </c>
      <c r="N15" s="115">
        <v>1</v>
      </c>
      <c r="O15" s="112">
        <f>Tbl_2025[[#This Row],[Ratio]]*Tbl_2025[[#This Row],[Wt. Befor ratio]]</f>
        <v>6118</v>
      </c>
      <c r="P15" s="112"/>
      <c r="Q15" s="112"/>
      <c r="R15" s="112"/>
      <c r="S15" s="112"/>
      <c r="T15" s="112" t="s">
        <v>78</v>
      </c>
      <c r="U15" s="156"/>
    </row>
    <row r="16" spans="1:21" ht="15.75" x14ac:dyDescent="0.25">
      <c r="A16" s="112">
        <v>139506</v>
      </c>
      <c r="B16" s="113">
        <v>45843</v>
      </c>
      <c r="C16" s="112" t="s">
        <v>115</v>
      </c>
      <c r="D16" s="112" t="s">
        <v>28</v>
      </c>
      <c r="E16" s="112" t="s">
        <v>1</v>
      </c>
      <c r="F16" s="112" t="s">
        <v>116</v>
      </c>
      <c r="G16" s="112" t="s">
        <v>253</v>
      </c>
      <c r="H16" s="112" t="s">
        <v>261</v>
      </c>
      <c r="I16" s="112">
        <v>202</v>
      </c>
      <c r="J16" s="112">
        <v>2850</v>
      </c>
      <c r="K16" s="112">
        <v>29</v>
      </c>
      <c r="L16" s="112">
        <v>282</v>
      </c>
      <c r="M16" s="112">
        <v>2539</v>
      </c>
      <c r="N16" s="115">
        <v>1</v>
      </c>
      <c r="O16" s="112">
        <f>Tbl_2025[[#This Row],[Ratio]]*Tbl_2025[[#This Row],[Wt. Befor ratio]]</f>
        <v>2539</v>
      </c>
      <c r="P16" s="112"/>
      <c r="Q16" s="112"/>
      <c r="R16" s="112"/>
      <c r="S16" s="112"/>
      <c r="T16" s="112" t="s">
        <v>78</v>
      </c>
      <c r="U16" s="183" t="s">
        <v>132</v>
      </c>
    </row>
    <row r="17" spans="1:21" x14ac:dyDescent="0.25">
      <c r="A17" s="112">
        <v>139515</v>
      </c>
      <c r="B17" s="113">
        <v>45846</v>
      </c>
      <c r="C17" s="112" t="s">
        <v>133</v>
      </c>
      <c r="D17" s="112" t="s">
        <v>39</v>
      </c>
      <c r="E17" s="112" t="s">
        <v>1</v>
      </c>
      <c r="F17" s="112" t="s">
        <v>73</v>
      </c>
      <c r="G17" s="112" t="s">
        <v>253</v>
      </c>
      <c r="H17" s="112" t="s">
        <v>260</v>
      </c>
      <c r="I17" s="112">
        <v>258</v>
      </c>
      <c r="J17" s="112">
        <v>5940</v>
      </c>
      <c r="K17" s="112">
        <v>59</v>
      </c>
      <c r="L17" s="112">
        <v>65</v>
      </c>
      <c r="M17" s="112">
        <v>5816</v>
      </c>
      <c r="N17" s="115">
        <v>1</v>
      </c>
      <c r="O17" s="112">
        <f>Tbl_2025[[#This Row],[Ratio]]*Tbl_2025[[#This Row],[Wt. Befor ratio]]</f>
        <v>5816</v>
      </c>
      <c r="P17" s="112"/>
      <c r="Q17" s="112"/>
      <c r="R17" s="112"/>
      <c r="S17" s="112"/>
      <c r="T17" s="112" t="s">
        <v>78</v>
      </c>
      <c r="U17" s="156"/>
    </row>
    <row r="18" spans="1:21" x14ac:dyDescent="0.25">
      <c r="A18" s="112">
        <v>139521</v>
      </c>
      <c r="B18" s="113">
        <v>45850</v>
      </c>
      <c r="C18" s="112" t="s">
        <v>134</v>
      </c>
      <c r="D18" s="112" t="s">
        <v>39</v>
      </c>
      <c r="E18" s="112" t="s">
        <v>1</v>
      </c>
      <c r="F18" s="112" t="s">
        <v>73</v>
      </c>
      <c r="G18" s="112" t="s">
        <v>253</v>
      </c>
      <c r="H18" s="112" t="s">
        <v>260</v>
      </c>
      <c r="I18" s="112">
        <v>250</v>
      </c>
      <c r="J18" s="112">
        <v>5980</v>
      </c>
      <c r="K18" s="112">
        <v>60</v>
      </c>
      <c r="L18" s="112">
        <v>63</v>
      </c>
      <c r="M18" s="112">
        <v>5857</v>
      </c>
      <c r="N18" s="115">
        <v>1</v>
      </c>
      <c r="O18" s="112">
        <f>Tbl_2025[[#This Row],[Ratio]]*Tbl_2025[[#This Row],[Wt. Befor ratio]]</f>
        <v>5857</v>
      </c>
      <c r="P18" s="112"/>
      <c r="Q18" s="112"/>
      <c r="R18" s="112"/>
      <c r="S18" s="112"/>
      <c r="T18" s="112" t="s">
        <v>78</v>
      </c>
      <c r="U18" s="156"/>
    </row>
    <row r="19" spans="1:21" x14ac:dyDescent="0.25">
      <c r="A19" s="112">
        <v>139526</v>
      </c>
      <c r="B19" s="113">
        <v>45853</v>
      </c>
      <c r="C19" s="112" t="s">
        <v>135</v>
      </c>
      <c r="D19" s="112" t="s">
        <v>39</v>
      </c>
      <c r="E19" s="112" t="s">
        <v>1</v>
      </c>
      <c r="F19" s="112" t="s">
        <v>73</v>
      </c>
      <c r="G19" s="112" t="s">
        <v>253</v>
      </c>
      <c r="H19" s="112" t="s">
        <v>260</v>
      </c>
      <c r="I19" s="112">
        <v>250</v>
      </c>
      <c r="J19" s="112">
        <v>5910</v>
      </c>
      <c r="K19" s="112">
        <v>59</v>
      </c>
      <c r="L19" s="112">
        <v>63</v>
      </c>
      <c r="M19" s="112">
        <v>5788</v>
      </c>
      <c r="N19" s="115">
        <v>1</v>
      </c>
      <c r="O19" s="112">
        <f>Tbl_2025[[#This Row],[Ratio]]*Tbl_2025[[#This Row],[Wt. Befor ratio]]</f>
        <v>5788</v>
      </c>
      <c r="P19" s="112"/>
      <c r="Q19" s="112"/>
      <c r="R19" s="112"/>
      <c r="S19" s="112"/>
      <c r="T19" s="112" t="s">
        <v>78</v>
      </c>
      <c r="U19" s="160" t="s">
        <v>136</v>
      </c>
    </row>
    <row r="20" spans="1:21" x14ac:dyDescent="0.25">
      <c r="A20" s="112">
        <v>139563</v>
      </c>
      <c r="B20" s="113">
        <v>45876</v>
      </c>
      <c r="C20" s="112" t="s">
        <v>113</v>
      </c>
      <c r="D20" s="112" t="s">
        <v>28</v>
      </c>
      <c r="E20" s="112" t="s">
        <v>1</v>
      </c>
      <c r="F20" s="112" t="s">
        <v>137</v>
      </c>
      <c r="G20" s="112" t="s">
        <v>252</v>
      </c>
      <c r="H20" s="112" t="s">
        <v>260</v>
      </c>
      <c r="I20" s="112">
        <v>340</v>
      </c>
      <c r="J20" s="112">
        <v>7000</v>
      </c>
      <c r="K20" s="112">
        <v>70</v>
      </c>
      <c r="L20" s="112">
        <v>85</v>
      </c>
      <c r="M20" s="112">
        <v>6845</v>
      </c>
      <c r="N20" s="115">
        <v>0.8</v>
      </c>
      <c r="O20" s="112">
        <f>Tbl_2025[[#This Row],[Ratio]]*Tbl_2025[[#This Row],[Wt. Befor ratio]]</f>
        <v>5476</v>
      </c>
      <c r="P20" s="112"/>
      <c r="Q20" s="112"/>
      <c r="R20" s="112"/>
      <c r="S20" s="112"/>
      <c r="T20" s="112" t="s">
        <v>332</v>
      </c>
      <c r="U20" s="156" t="s">
        <v>138</v>
      </c>
    </row>
    <row r="21" spans="1:21" x14ac:dyDescent="0.25">
      <c r="A21" s="112">
        <v>139564</v>
      </c>
      <c r="B21" s="113">
        <v>45876</v>
      </c>
      <c r="C21" s="112" t="s">
        <v>118</v>
      </c>
      <c r="D21" s="112" t="s">
        <v>28</v>
      </c>
      <c r="E21" s="112" t="s">
        <v>1</v>
      </c>
      <c r="F21" s="112" t="s">
        <v>137</v>
      </c>
      <c r="G21" s="112" t="s">
        <v>252</v>
      </c>
      <c r="H21" s="112" t="s">
        <v>260</v>
      </c>
      <c r="I21" s="112">
        <v>230</v>
      </c>
      <c r="J21" s="112">
        <v>6322</v>
      </c>
      <c r="K21" s="112">
        <v>63</v>
      </c>
      <c r="L21" s="112">
        <v>58</v>
      </c>
      <c r="M21" s="112">
        <v>6201</v>
      </c>
      <c r="N21" s="115">
        <v>0.8</v>
      </c>
      <c r="O21" s="112">
        <f>Tbl_2025[[#This Row],[Ratio]]*Tbl_2025[[#This Row],[Wt. Befor ratio]]</f>
        <v>4960.8</v>
      </c>
      <c r="P21" s="112"/>
      <c r="Q21" s="112"/>
      <c r="R21" s="112"/>
      <c r="S21" s="112"/>
      <c r="T21" s="112" t="s">
        <v>332</v>
      </c>
      <c r="U21" s="156" t="s">
        <v>139</v>
      </c>
    </row>
    <row r="22" spans="1:21" x14ac:dyDescent="0.25">
      <c r="A22" s="112">
        <v>139611</v>
      </c>
      <c r="B22" s="113">
        <v>45894</v>
      </c>
      <c r="C22" s="112" t="s">
        <v>140</v>
      </c>
      <c r="D22" s="112" t="s">
        <v>58</v>
      </c>
      <c r="E22" s="112" t="s">
        <v>239</v>
      </c>
      <c r="F22" s="112" t="s">
        <v>100</v>
      </c>
      <c r="G22" s="112" t="s">
        <v>252</v>
      </c>
      <c r="H22" s="112" t="s">
        <v>260</v>
      </c>
      <c r="I22" s="112">
        <v>57</v>
      </c>
      <c r="J22" s="112">
        <v>1140</v>
      </c>
      <c r="K22" s="112">
        <v>11</v>
      </c>
      <c r="L22" s="112">
        <v>14</v>
      </c>
      <c r="M22" s="112">
        <v>1115</v>
      </c>
      <c r="N22" s="115">
        <v>0.44</v>
      </c>
      <c r="O22" s="112">
        <f>Tbl_2025[[#This Row],[Ratio]]*Tbl_2025[[#This Row],[Wt. Befor ratio]]</f>
        <v>490.6</v>
      </c>
      <c r="P22" s="112"/>
      <c r="Q22" s="112"/>
      <c r="R22" s="112"/>
      <c r="S22" s="112"/>
      <c r="T22" s="112" t="s">
        <v>81</v>
      </c>
      <c r="U22" s="156" t="s">
        <v>141</v>
      </c>
    </row>
    <row r="23" spans="1:21" x14ac:dyDescent="0.25">
      <c r="A23" s="112">
        <v>139613</v>
      </c>
      <c r="B23" s="113">
        <v>45894</v>
      </c>
      <c r="C23" s="112" t="s">
        <v>115</v>
      </c>
      <c r="D23" s="112" t="s">
        <v>58</v>
      </c>
      <c r="E23" s="112" t="s">
        <v>211</v>
      </c>
      <c r="F23" s="112" t="s">
        <v>74</v>
      </c>
      <c r="G23" s="112" t="s">
        <v>252</v>
      </c>
      <c r="H23" s="112" t="s">
        <v>260</v>
      </c>
      <c r="I23" s="112">
        <v>254</v>
      </c>
      <c r="J23" s="112">
        <v>4040</v>
      </c>
      <c r="K23" s="112">
        <v>40</v>
      </c>
      <c r="L23" s="112">
        <v>64</v>
      </c>
      <c r="M23" s="112">
        <v>3936</v>
      </c>
      <c r="N23" s="115">
        <v>0.52</v>
      </c>
      <c r="O23" s="112">
        <f>Tbl_2025[[#This Row],[Ratio]]*Tbl_2025[[#This Row],[Wt. Befor ratio]]</f>
        <v>2046.72</v>
      </c>
      <c r="P23" s="112"/>
      <c r="Q23" s="112"/>
      <c r="R23" s="112"/>
      <c r="S23" s="112"/>
      <c r="T23" s="112" t="s">
        <v>102</v>
      </c>
      <c r="U23" s="156" t="s">
        <v>142</v>
      </c>
    </row>
    <row r="24" spans="1:21" x14ac:dyDescent="0.25">
      <c r="A24" s="112">
        <v>139618</v>
      </c>
      <c r="B24" s="113">
        <v>45895</v>
      </c>
      <c r="C24" s="112" t="s">
        <v>143</v>
      </c>
      <c r="D24" s="112" t="s">
        <v>32</v>
      </c>
      <c r="E24" s="112" t="s">
        <v>3</v>
      </c>
      <c r="F24" s="112" t="s">
        <v>99</v>
      </c>
      <c r="G24" s="112" t="s">
        <v>254</v>
      </c>
      <c r="H24" s="112" t="s">
        <v>260</v>
      </c>
      <c r="I24" s="112">
        <v>446</v>
      </c>
      <c r="J24" s="112">
        <v>10085</v>
      </c>
      <c r="K24" s="112">
        <v>100</v>
      </c>
      <c r="L24" s="112">
        <v>112</v>
      </c>
      <c r="M24" s="112">
        <v>9873</v>
      </c>
      <c r="N24" s="115">
        <v>0.5</v>
      </c>
      <c r="O24" s="112">
        <f>Tbl_2025[[#This Row],[Ratio]]*Tbl_2025[[#This Row],[Wt. Befor ratio]]</f>
        <v>4936.5</v>
      </c>
      <c r="P24" s="112"/>
      <c r="Q24" s="112"/>
      <c r="R24" s="112"/>
      <c r="S24" s="112"/>
      <c r="T24" s="112" t="s">
        <v>124</v>
      </c>
      <c r="U24" s="156" t="s">
        <v>107</v>
      </c>
    </row>
    <row r="25" spans="1:21" ht="45" x14ac:dyDescent="0.25">
      <c r="A25" s="112">
        <v>139640</v>
      </c>
      <c r="B25" s="113">
        <v>45904</v>
      </c>
      <c r="C25" s="112" t="s">
        <v>144</v>
      </c>
      <c r="D25" s="112" t="s">
        <v>27</v>
      </c>
      <c r="E25" s="112" t="s">
        <v>198</v>
      </c>
      <c r="F25" s="112" t="s">
        <v>123</v>
      </c>
      <c r="G25" s="112" t="s">
        <v>253</v>
      </c>
      <c r="H25" s="112" t="s">
        <v>260</v>
      </c>
      <c r="I25" s="112">
        <v>596</v>
      </c>
      <c r="J25" s="112">
        <v>17895</v>
      </c>
      <c r="K25" s="112">
        <v>179</v>
      </c>
      <c r="L25" s="112"/>
      <c r="M25" s="112">
        <v>17716</v>
      </c>
      <c r="N25" s="115">
        <v>0.97399999999999998</v>
      </c>
      <c r="O25" s="112">
        <f>Tbl_2025[[#This Row],[Ratio]]*Tbl_2025[[#This Row],[Wt. Befor ratio]]</f>
        <v>17255.383999999998</v>
      </c>
      <c r="P25" s="112"/>
      <c r="Q25" s="112"/>
      <c r="R25" s="112"/>
      <c r="S25" s="112"/>
      <c r="T25" s="112" t="s">
        <v>77</v>
      </c>
      <c r="U25" s="159" t="s">
        <v>533</v>
      </c>
    </row>
    <row r="26" spans="1:21" x14ac:dyDescent="0.25">
      <c r="A26" s="112">
        <v>139647</v>
      </c>
      <c r="B26" s="113">
        <v>45906</v>
      </c>
      <c r="C26" s="112" t="s">
        <v>143</v>
      </c>
      <c r="D26" s="112" t="s">
        <v>58</v>
      </c>
      <c r="E26" s="112" t="s">
        <v>211</v>
      </c>
      <c r="F26" s="112" t="s">
        <v>74</v>
      </c>
      <c r="G26" s="112" t="s">
        <v>252</v>
      </c>
      <c r="H26" s="112" t="s">
        <v>260</v>
      </c>
      <c r="I26" s="112">
        <v>750</v>
      </c>
      <c r="J26" s="112">
        <v>11312</v>
      </c>
      <c r="K26" s="112">
        <v>113</v>
      </c>
      <c r="L26" s="112">
        <v>188</v>
      </c>
      <c r="M26" s="112">
        <v>11011</v>
      </c>
      <c r="N26" s="115">
        <v>0.52800000000000002</v>
      </c>
      <c r="O26" s="112">
        <f>Tbl_2025[[#This Row],[Ratio]]*Tbl_2025[[#This Row],[Wt. Befor ratio]]</f>
        <v>5813.808</v>
      </c>
      <c r="P26" s="112"/>
      <c r="Q26" s="112"/>
      <c r="R26" s="112"/>
      <c r="S26" s="112"/>
      <c r="T26" s="112" t="s">
        <v>83</v>
      </c>
      <c r="U26" s="156" t="s">
        <v>145</v>
      </c>
    </row>
    <row r="27" spans="1:21" x14ac:dyDescent="0.25">
      <c r="A27" s="112">
        <v>139648</v>
      </c>
      <c r="B27" s="113">
        <v>45906</v>
      </c>
      <c r="C27" s="112" t="s">
        <v>146</v>
      </c>
      <c r="D27" s="112" t="s">
        <v>58</v>
      </c>
      <c r="E27" s="112" t="s">
        <v>211</v>
      </c>
      <c r="F27" s="112" t="s">
        <v>74</v>
      </c>
      <c r="G27" s="112" t="s">
        <v>252</v>
      </c>
      <c r="H27" s="112" t="s">
        <v>260</v>
      </c>
      <c r="I27" s="112">
        <v>794</v>
      </c>
      <c r="J27" s="112">
        <v>11862</v>
      </c>
      <c r="K27" s="112">
        <v>119</v>
      </c>
      <c r="L27" s="112">
        <v>199</v>
      </c>
      <c r="M27" s="112">
        <v>11544</v>
      </c>
      <c r="N27" s="115">
        <v>0.52800000000000002</v>
      </c>
      <c r="O27" s="112">
        <f>Tbl_2025[[#This Row],[Ratio]]*Tbl_2025[[#This Row],[Wt. Befor ratio]]</f>
        <v>6095.232</v>
      </c>
      <c r="P27" s="112"/>
      <c r="Q27" s="112"/>
      <c r="R27" s="112"/>
      <c r="S27" s="112"/>
      <c r="T27" s="112" t="s">
        <v>83</v>
      </c>
      <c r="U27" s="156" t="s">
        <v>147</v>
      </c>
    </row>
    <row r="28" spans="1:21" x14ac:dyDescent="0.25">
      <c r="A28" s="112">
        <v>139659</v>
      </c>
      <c r="B28" s="113">
        <v>45909</v>
      </c>
      <c r="C28" s="112" t="s">
        <v>146</v>
      </c>
      <c r="D28" s="112" t="s">
        <v>45</v>
      </c>
      <c r="E28" s="112" t="s">
        <v>207</v>
      </c>
      <c r="F28" s="112" t="s">
        <v>148</v>
      </c>
      <c r="G28" s="112" t="s">
        <v>256</v>
      </c>
      <c r="H28" s="112" t="s">
        <v>260</v>
      </c>
      <c r="I28" s="112">
        <v>225</v>
      </c>
      <c r="J28" s="112">
        <v>3906</v>
      </c>
      <c r="K28" s="112">
        <v>25</v>
      </c>
      <c r="L28" s="112"/>
      <c r="M28" s="112">
        <v>3881</v>
      </c>
      <c r="N28" s="115">
        <v>0.66300000000000003</v>
      </c>
      <c r="O28" s="112">
        <f>Tbl_2025[[#This Row],[Ratio]]*Tbl_2025[[#This Row],[Wt. Befor ratio]]</f>
        <v>2573.1030000000001</v>
      </c>
      <c r="P28" s="112"/>
      <c r="Q28" s="112"/>
      <c r="R28" s="112"/>
      <c r="S28" s="112"/>
      <c r="T28" s="112" t="s">
        <v>105</v>
      </c>
      <c r="U28" s="156" t="s">
        <v>149</v>
      </c>
    </row>
    <row r="29" spans="1:21" x14ac:dyDescent="0.25">
      <c r="A29" s="112">
        <v>139663</v>
      </c>
      <c r="B29" s="113">
        <v>45910</v>
      </c>
      <c r="C29" s="112" t="s">
        <v>144</v>
      </c>
      <c r="D29" s="112" t="s">
        <v>45</v>
      </c>
      <c r="E29" s="112" t="s">
        <v>207</v>
      </c>
      <c r="F29" s="112" t="s">
        <v>148</v>
      </c>
      <c r="G29" s="112" t="s">
        <v>256</v>
      </c>
      <c r="H29" s="112" t="s">
        <v>260</v>
      </c>
      <c r="I29" s="112">
        <v>258</v>
      </c>
      <c r="J29" s="112">
        <v>4974</v>
      </c>
      <c r="K29" s="112">
        <v>50</v>
      </c>
      <c r="L29" s="112"/>
      <c r="M29" s="112">
        <v>4924</v>
      </c>
      <c r="N29" s="115">
        <v>0.62</v>
      </c>
      <c r="O29" s="112">
        <f>Tbl_2025[[#This Row],[Ratio]]*Tbl_2025[[#This Row],[Wt. Befor ratio]]</f>
        <v>3052.88</v>
      </c>
      <c r="P29" s="112"/>
      <c r="Q29" s="112"/>
      <c r="R29" s="112"/>
      <c r="S29" s="112"/>
      <c r="T29" s="112" t="s">
        <v>105</v>
      </c>
      <c r="U29" s="156" t="s">
        <v>149</v>
      </c>
    </row>
    <row r="30" spans="1:21" x14ac:dyDescent="0.25">
      <c r="A30" s="112">
        <v>139664</v>
      </c>
      <c r="B30" s="113">
        <v>45910</v>
      </c>
      <c r="C30" s="112" t="s">
        <v>150</v>
      </c>
      <c r="D30" s="112" t="s">
        <v>45</v>
      </c>
      <c r="E30" s="112" t="s">
        <v>207</v>
      </c>
      <c r="F30" s="112" t="s">
        <v>148</v>
      </c>
      <c r="G30" s="112" t="s">
        <v>256</v>
      </c>
      <c r="H30" s="112" t="s">
        <v>260</v>
      </c>
      <c r="I30" s="112">
        <v>170</v>
      </c>
      <c r="J30" s="112">
        <v>3012</v>
      </c>
      <c r="K30" s="112">
        <v>25</v>
      </c>
      <c r="L30" s="112"/>
      <c r="M30" s="112">
        <v>2987</v>
      </c>
      <c r="N30" s="115">
        <v>0.69599999999999995</v>
      </c>
      <c r="O30" s="112">
        <f>Tbl_2025[[#This Row],[Ratio]]*Tbl_2025[[#This Row],[Wt. Befor ratio]]</f>
        <v>2078.9519999999998</v>
      </c>
      <c r="P30" s="112"/>
      <c r="Q30" s="112"/>
      <c r="R30" s="112"/>
      <c r="S30" s="112"/>
      <c r="T30" s="112" t="s">
        <v>81</v>
      </c>
      <c r="U30" s="156" t="s">
        <v>149</v>
      </c>
    </row>
    <row r="31" spans="1:21" x14ac:dyDescent="0.25">
      <c r="A31" s="112">
        <v>139677</v>
      </c>
      <c r="B31" s="113">
        <v>45915</v>
      </c>
      <c r="C31" s="112" t="s">
        <v>113</v>
      </c>
      <c r="D31" s="112" t="s">
        <v>42</v>
      </c>
      <c r="E31" s="112" t="s">
        <v>216</v>
      </c>
      <c r="F31" s="112" t="s">
        <v>151</v>
      </c>
      <c r="G31" s="112" t="s">
        <v>252</v>
      </c>
      <c r="H31" s="112" t="s">
        <v>260</v>
      </c>
      <c r="I31" s="112">
        <v>105</v>
      </c>
      <c r="J31" s="112">
        <v>4442</v>
      </c>
      <c r="K31" s="112">
        <v>44</v>
      </c>
      <c r="L31" s="112"/>
      <c r="M31" s="112">
        <v>4398</v>
      </c>
      <c r="N31" s="115">
        <v>0.88200000000000001</v>
      </c>
      <c r="O31" s="112">
        <f>Tbl_2025[[#This Row],[Ratio]]*Tbl_2025[[#This Row],[Wt. Befor ratio]]</f>
        <v>3879.0360000000001</v>
      </c>
      <c r="P31" s="112" t="s">
        <v>84</v>
      </c>
      <c r="Q31" s="112">
        <v>2939</v>
      </c>
      <c r="R31" s="113">
        <v>46083</v>
      </c>
      <c r="S31" s="112">
        <v>76</v>
      </c>
      <c r="T31" s="112" t="s">
        <v>152</v>
      </c>
      <c r="U31" s="156"/>
    </row>
    <row r="32" spans="1:21" x14ac:dyDescent="0.25">
      <c r="A32" s="112">
        <v>139679</v>
      </c>
      <c r="B32" s="113">
        <v>45917</v>
      </c>
      <c r="C32" s="112" t="s">
        <v>111</v>
      </c>
      <c r="D32" s="112" t="s">
        <v>58</v>
      </c>
      <c r="E32" s="112" t="s">
        <v>4</v>
      </c>
      <c r="F32" s="112" t="s">
        <v>153</v>
      </c>
      <c r="G32" s="112" t="s">
        <v>254</v>
      </c>
      <c r="H32" s="112" t="s">
        <v>61</v>
      </c>
      <c r="I32" s="112">
        <v>425</v>
      </c>
      <c r="J32" s="112">
        <v>5355</v>
      </c>
      <c r="K32" s="112">
        <v>54</v>
      </c>
      <c r="L32" s="112">
        <v>106</v>
      </c>
      <c r="M32" s="112">
        <v>5195</v>
      </c>
      <c r="N32" s="115">
        <v>0.75</v>
      </c>
      <c r="O32" s="112">
        <f>Tbl_2025[[#This Row],[Ratio]]*Tbl_2025[[#This Row],[Wt. Befor ratio]]</f>
        <v>3896.25</v>
      </c>
      <c r="P32" s="112"/>
      <c r="Q32" s="112"/>
      <c r="R32" s="112"/>
      <c r="S32" s="112" t="s">
        <v>559</v>
      </c>
      <c r="T32" s="112" t="s">
        <v>105</v>
      </c>
      <c r="U32" s="160" t="s">
        <v>558</v>
      </c>
    </row>
    <row r="33" spans="1:21" x14ac:dyDescent="0.25">
      <c r="A33" s="112">
        <v>139681</v>
      </c>
      <c r="B33" s="113">
        <v>45917</v>
      </c>
      <c r="C33" s="112" t="s">
        <v>144</v>
      </c>
      <c r="D33" s="112" t="s">
        <v>58</v>
      </c>
      <c r="E33" s="112" t="s">
        <v>211</v>
      </c>
      <c r="F33" s="112" t="s">
        <v>74</v>
      </c>
      <c r="G33" s="112" t="s">
        <v>252</v>
      </c>
      <c r="H33" s="112" t="s">
        <v>260</v>
      </c>
      <c r="I33" s="112">
        <v>541</v>
      </c>
      <c r="J33" s="112">
        <v>8778</v>
      </c>
      <c r="K33" s="112">
        <v>88</v>
      </c>
      <c r="L33" s="112">
        <v>135</v>
      </c>
      <c r="M33" s="112">
        <v>8555</v>
      </c>
      <c r="N33" s="115">
        <v>0.25</v>
      </c>
      <c r="O33" s="112">
        <f>Tbl_2025[[#This Row],[Ratio]]*Tbl_2025[[#This Row],[Wt. Befor ratio]]</f>
        <v>2138.75</v>
      </c>
      <c r="P33" s="112"/>
      <c r="Q33" s="112"/>
      <c r="R33" s="112"/>
      <c r="S33" s="112"/>
      <c r="T33" s="112" t="s">
        <v>83</v>
      </c>
      <c r="U33" s="156" t="s">
        <v>154</v>
      </c>
    </row>
    <row r="34" spans="1:21" x14ac:dyDescent="0.25">
      <c r="A34" s="112">
        <v>139682</v>
      </c>
      <c r="B34" s="113">
        <v>45917</v>
      </c>
      <c r="C34" s="112" t="s">
        <v>150</v>
      </c>
      <c r="D34" s="112" t="s">
        <v>58</v>
      </c>
      <c r="E34" s="112" t="s">
        <v>211</v>
      </c>
      <c r="F34" s="112" t="s">
        <v>74</v>
      </c>
      <c r="G34" s="112" t="s">
        <v>252</v>
      </c>
      <c r="H34" s="112" t="s">
        <v>260</v>
      </c>
      <c r="I34" s="112">
        <v>532</v>
      </c>
      <c r="J34" s="112">
        <v>7430</v>
      </c>
      <c r="K34" s="112">
        <v>74</v>
      </c>
      <c r="L34" s="112">
        <v>133</v>
      </c>
      <c r="M34" s="112">
        <v>7223</v>
      </c>
      <c r="N34" s="115">
        <v>0.55000000000000004</v>
      </c>
      <c r="O34" s="112">
        <f>Tbl_2025[[#This Row],[Ratio]]*Tbl_2025[[#This Row],[Wt. Befor ratio]]</f>
        <v>3972.6500000000005</v>
      </c>
      <c r="P34" s="112"/>
      <c r="Q34" s="112"/>
      <c r="R34" s="112"/>
      <c r="S34" s="112"/>
      <c r="T34" s="112" t="s">
        <v>83</v>
      </c>
      <c r="U34" s="156" t="s">
        <v>155</v>
      </c>
    </row>
    <row r="35" spans="1:21" x14ac:dyDescent="0.25">
      <c r="A35" s="112">
        <v>139689</v>
      </c>
      <c r="B35" s="113">
        <v>45921</v>
      </c>
      <c r="C35" s="112" t="s">
        <v>156</v>
      </c>
      <c r="D35" s="112" t="s">
        <v>58</v>
      </c>
      <c r="E35" s="112" t="s">
        <v>211</v>
      </c>
      <c r="F35" s="112" t="s">
        <v>74</v>
      </c>
      <c r="G35" s="112" t="s">
        <v>252</v>
      </c>
      <c r="H35" s="112" t="s">
        <v>260</v>
      </c>
      <c r="I35" s="112">
        <v>122</v>
      </c>
      <c r="J35" s="112">
        <v>1785</v>
      </c>
      <c r="K35" s="112">
        <v>18</v>
      </c>
      <c r="L35" s="112">
        <v>31</v>
      </c>
      <c r="M35" s="112">
        <v>1736</v>
      </c>
      <c r="N35" s="115">
        <v>0.56999999999999995</v>
      </c>
      <c r="O35" s="112">
        <f>Tbl_2025[[#This Row],[Ratio]]*Tbl_2025[[#This Row],[Wt. Befor ratio]]</f>
        <v>989.51999999999987</v>
      </c>
      <c r="P35" s="112"/>
      <c r="Q35" s="112"/>
      <c r="R35" s="112"/>
      <c r="S35" s="112"/>
      <c r="T35" s="112" t="s">
        <v>83</v>
      </c>
      <c r="U35" s="156"/>
    </row>
    <row r="36" spans="1:21" x14ac:dyDescent="0.25">
      <c r="A36" s="112">
        <v>139704</v>
      </c>
      <c r="B36" s="113">
        <v>45932</v>
      </c>
      <c r="C36" s="112" t="s">
        <v>157</v>
      </c>
      <c r="D36" s="112" t="s">
        <v>28</v>
      </c>
      <c r="E36" s="112" t="s">
        <v>1</v>
      </c>
      <c r="F36" s="112" t="s">
        <v>137</v>
      </c>
      <c r="G36" s="112" t="s">
        <v>252</v>
      </c>
      <c r="H36" s="112" t="s">
        <v>260</v>
      </c>
      <c r="I36" s="112">
        <v>256</v>
      </c>
      <c r="J36" s="112">
        <v>6840</v>
      </c>
      <c r="K36" s="112">
        <v>68</v>
      </c>
      <c r="L36" s="112">
        <v>64</v>
      </c>
      <c r="M36" s="112">
        <v>6708</v>
      </c>
      <c r="N36" s="115">
        <v>0.89</v>
      </c>
      <c r="O36" s="112">
        <f>Tbl_2025[[#This Row],[Ratio]]*Tbl_2025[[#This Row],[Wt. Befor ratio]]</f>
        <v>5970.12</v>
      </c>
      <c r="P36" s="112"/>
      <c r="Q36" s="112"/>
      <c r="R36" s="112"/>
      <c r="S36" s="112"/>
      <c r="T36" s="112" t="s">
        <v>332</v>
      </c>
      <c r="U36" s="156" t="s">
        <v>138</v>
      </c>
    </row>
    <row r="37" spans="1:21" x14ac:dyDescent="0.25">
      <c r="A37" s="112">
        <v>139705</v>
      </c>
      <c r="B37" s="113">
        <v>45932</v>
      </c>
      <c r="C37" s="112" t="s">
        <v>115</v>
      </c>
      <c r="D37" s="112" t="s">
        <v>28</v>
      </c>
      <c r="E37" s="112" t="s">
        <v>1</v>
      </c>
      <c r="F37" s="112" t="s">
        <v>137</v>
      </c>
      <c r="G37" s="112" t="s">
        <v>252</v>
      </c>
      <c r="H37" s="112" t="s">
        <v>260</v>
      </c>
      <c r="I37" s="112">
        <v>270</v>
      </c>
      <c r="J37" s="112">
        <v>7876</v>
      </c>
      <c r="K37" s="112">
        <v>79</v>
      </c>
      <c r="L37" s="112">
        <v>68</v>
      </c>
      <c r="M37" s="112">
        <v>7729</v>
      </c>
      <c r="N37" s="115">
        <v>0.44</v>
      </c>
      <c r="O37" s="112">
        <f>Tbl_2025[[#This Row],[Ratio]]*Tbl_2025[[#This Row],[Wt. Befor ratio]]</f>
        <v>3400.76</v>
      </c>
      <c r="P37" s="112"/>
      <c r="Q37" s="112"/>
      <c r="R37" s="112"/>
      <c r="S37" s="112"/>
      <c r="T37" s="112" t="s">
        <v>332</v>
      </c>
      <c r="U37" s="156" t="s">
        <v>139</v>
      </c>
    </row>
    <row r="38" spans="1:21" x14ac:dyDescent="0.25">
      <c r="A38" s="112">
        <v>139709</v>
      </c>
      <c r="B38" s="113">
        <v>45935</v>
      </c>
      <c r="C38" s="112" t="s">
        <v>144</v>
      </c>
      <c r="D38" s="112" t="s">
        <v>32</v>
      </c>
      <c r="E38" s="112" t="s">
        <v>3</v>
      </c>
      <c r="F38" s="112" t="s">
        <v>99</v>
      </c>
      <c r="G38" s="112" t="s">
        <v>254</v>
      </c>
      <c r="H38" s="112" t="s">
        <v>260</v>
      </c>
      <c r="I38" s="112">
        <v>450</v>
      </c>
      <c r="J38" s="112">
        <v>9545</v>
      </c>
      <c r="K38" s="112">
        <v>100</v>
      </c>
      <c r="L38" s="112">
        <v>113</v>
      </c>
      <c r="M38" s="112">
        <v>9332</v>
      </c>
      <c r="N38" s="115">
        <v>0.53</v>
      </c>
      <c r="O38" s="112">
        <f>Tbl_2025[[#This Row],[Ratio]]*Tbl_2025[[#This Row],[Wt. Befor ratio]]</f>
        <v>4945.96</v>
      </c>
      <c r="P38" s="112"/>
      <c r="Q38" s="112"/>
      <c r="R38" s="112"/>
      <c r="S38" s="112"/>
      <c r="T38" s="112" t="s">
        <v>158</v>
      </c>
      <c r="U38" s="156" t="s">
        <v>107</v>
      </c>
    </row>
    <row r="39" spans="1:21" x14ac:dyDescent="0.25">
      <c r="A39" s="112">
        <v>139725</v>
      </c>
      <c r="B39" s="113">
        <v>45938</v>
      </c>
      <c r="C39" s="112" t="s">
        <v>113</v>
      </c>
      <c r="D39" s="112" t="s">
        <v>36</v>
      </c>
      <c r="E39" s="112" t="s">
        <v>3</v>
      </c>
      <c r="F39" s="112" t="s">
        <v>99</v>
      </c>
      <c r="G39" s="112" t="s">
        <v>254</v>
      </c>
      <c r="H39" s="112" t="s">
        <v>260</v>
      </c>
      <c r="I39" s="112">
        <v>230</v>
      </c>
      <c r="J39" s="112">
        <v>2710</v>
      </c>
      <c r="K39" s="112">
        <v>50</v>
      </c>
      <c r="L39" s="112">
        <v>58</v>
      </c>
      <c r="M39" s="112">
        <v>2602</v>
      </c>
      <c r="N39" s="115">
        <v>0.59</v>
      </c>
      <c r="O39" s="112">
        <f>Tbl_2025[[#This Row],[Ratio]]*Tbl_2025[[#This Row],[Wt. Befor ratio]]</f>
        <v>1535.1799999999998</v>
      </c>
      <c r="P39" s="112"/>
      <c r="Q39" s="112"/>
      <c r="R39" s="112"/>
      <c r="S39" s="112"/>
      <c r="T39" s="112" t="s">
        <v>105</v>
      </c>
      <c r="U39" s="156"/>
    </row>
    <row r="40" spans="1:21" x14ac:dyDescent="0.25">
      <c r="A40" s="112">
        <v>139728</v>
      </c>
      <c r="B40" s="113">
        <v>45939</v>
      </c>
      <c r="C40" s="112" t="s">
        <v>160</v>
      </c>
      <c r="D40" s="112" t="s">
        <v>58</v>
      </c>
      <c r="E40" s="112" t="s">
        <v>219</v>
      </c>
      <c r="F40" s="112" t="s">
        <v>159</v>
      </c>
      <c r="G40" s="112" t="s">
        <v>255</v>
      </c>
      <c r="H40" s="112" t="s">
        <v>260</v>
      </c>
      <c r="I40" s="112">
        <v>200</v>
      </c>
      <c r="J40" s="112">
        <v>1335</v>
      </c>
      <c r="K40" s="112">
        <v>13</v>
      </c>
      <c r="L40" s="112">
        <v>50</v>
      </c>
      <c r="M40" s="112">
        <v>1272</v>
      </c>
      <c r="N40" s="115">
        <v>0.65</v>
      </c>
      <c r="O40" s="112">
        <f>Tbl_2025[[#This Row],[Ratio]]*Tbl_2025[[#This Row],[Wt. Befor ratio]]</f>
        <v>826.80000000000007</v>
      </c>
      <c r="P40" s="112" t="s">
        <v>84</v>
      </c>
      <c r="Q40" s="112">
        <v>2903</v>
      </c>
      <c r="R40" s="113">
        <v>46023</v>
      </c>
      <c r="S40" s="112" t="s">
        <v>504</v>
      </c>
      <c r="T40" s="112" t="s">
        <v>81</v>
      </c>
      <c r="U40" s="156" t="s">
        <v>505</v>
      </c>
    </row>
    <row r="41" spans="1:21" x14ac:dyDescent="0.25">
      <c r="A41" s="112">
        <v>139729</v>
      </c>
      <c r="B41" s="113">
        <v>45939</v>
      </c>
      <c r="C41" s="112" t="s">
        <v>161</v>
      </c>
      <c r="D41" s="112" t="s">
        <v>58</v>
      </c>
      <c r="E41" s="112" t="s">
        <v>219</v>
      </c>
      <c r="F41" s="112" t="s">
        <v>159</v>
      </c>
      <c r="G41" s="112" t="s">
        <v>255</v>
      </c>
      <c r="H41" s="112" t="s">
        <v>260</v>
      </c>
      <c r="I41" s="112">
        <v>60</v>
      </c>
      <c r="J41" s="112">
        <v>695</v>
      </c>
      <c r="K41" s="112">
        <v>7</v>
      </c>
      <c r="L41" s="112">
        <v>15</v>
      </c>
      <c r="M41" s="112">
        <v>673</v>
      </c>
      <c r="N41" s="115">
        <v>0.32</v>
      </c>
      <c r="O41" s="112">
        <f>Tbl_2025[[#This Row],[Ratio]]*Tbl_2025[[#This Row],[Wt. Befor ratio]]</f>
        <v>215.36</v>
      </c>
      <c r="P41" s="112"/>
      <c r="Q41" s="112"/>
      <c r="R41" s="112"/>
      <c r="S41" s="112"/>
      <c r="T41" s="112" t="s">
        <v>81</v>
      </c>
      <c r="U41" s="156" t="s">
        <v>162</v>
      </c>
    </row>
    <row r="42" spans="1:21" x14ac:dyDescent="0.25">
      <c r="A42" s="112">
        <v>139734</v>
      </c>
      <c r="B42" s="113">
        <v>45942</v>
      </c>
      <c r="C42" s="112" t="s">
        <v>163</v>
      </c>
      <c r="D42" s="112" t="s">
        <v>58</v>
      </c>
      <c r="E42" s="112" t="s">
        <v>3</v>
      </c>
      <c r="F42" s="112" t="s">
        <v>99</v>
      </c>
      <c r="G42" s="112" t="s">
        <v>253</v>
      </c>
      <c r="H42" s="112" t="s">
        <v>61</v>
      </c>
      <c r="I42" s="112">
        <v>182</v>
      </c>
      <c r="J42" s="112">
        <v>3655</v>
      </c>
      <c r="K42" s="112">
        <v>50</v>
      </c>
      <c r="L42" s="112">
        <v>45</v>
      </c>
      <c r="M42" s="112">
        <v>3560</v>
      </c>
      <c r="N42" s="115">
        <v>0.52</v>
      </c>
      <c r="O42" s="112">
        <f>Tbl_2025[[#This Row],[Ratio]]*Tbl_2025[[#This Row],[Wt. Befor ratio]]</f>
        <v>1851.2</v>
      </c>
      <c r="P42" s="112"/>
      <c r="Q42" s="112"/>
      <c r="R42" s="112"/>
      <c r="S42" s="112"/>
      <c r="T42" s="112" t="s">
        <v>124</v>
      </c>
      <c r="U42" s="156" t="s">
        <v>164</v>
      </c>
    </row>
    <row r="43" spans="1:21" x14ac:dyDescent="0.25">
      <c r="A43" s="112">
        <v>139736</v>
      </c>
      <c r="B43" s="113">
        <v>45942</v>
      </c>
      <c r="C43" s="112" t="s">
        <v>165</v>
      </c>
      <c r="D43" s="112" t="s">
        <v>58</v>
      </c>
      <c r="E43" s="112" t="s">
        <v>3</v>
      </c>
      <c r="F43" s="112" t="s">
        <v>99</v>
      </c>
      <c r="G43" s="112" t="s">
        <v>253</v>
      </c>
      <c r="H43" s="112" t="s">
        <v>61</v>
      </c>
      <c r="I43" s="112">
        <v>203</v>
      </c>
      <c r="J43" s="112">
        <v>3985</v>
      </c>
      <c r="K43" s="112">
        <v>50</v>
      </c>
      <c r="L43" s="112">
        <v>55</v>
      </c>
      <c r="M43" s="112">
        <v>3880</v>
      </c>
      <c r="N43" s="115">
        <v>0.57999999999999996</v>
      </c>
      <c r="O43" s="112">
        <f>Tbl_2025[[#This Row],[Ratio]]*Tbl_2025[[#This Row],[Wt. Befor ratio]]</f>
        <v>2250.3999999999996</v>
      </c>
      <c r="P43" s="112"/>
      <c r="Q43" s="112"/>
      <c r="R43" s="112"/>
      <c r="S43" s="112"/>
      <c r="T43" s="112" t="s">
        <v>124</v>
      </c>
      <c r="U43" s="156" t="s">
        <v>166</v>
      </c>
    </row>
    <row r="44" spans="1:21" x14ac:dyDescent="0.25">
      <c r="A44" s="112">
        <v>139743</v>
      </c>
      <c r="B44" s="113">
        <v>45946</v>
      </c>
      <c r="C44" s="112" t="s">
        <v>115</v>
      </c>
      <c r="D44" s="112" t="s">
        <v>95</v>
      </c>
      <c r="E44" s="112" t="s">
        <v>0</v>
      </c>
      <c r="F44" s="112" t="s">
        <v>167</v>
      </c>
      <c r="G44" s="112" t="s">
        <v>253</v>
      </c>
      <c r="H44" s="112" t="s">
        <v>260</v>
      </c>
      <c r="I44" s="112">
        <v>390</v>
      </c>
      <c r="J44" s="112">
        <v>7865</v>
      </c>
      <c r="K44" s="112">
        <v>75</v>
      </c>
      <c r="L44" s="112"/>
      <c r="M44" s="112">
        <v>7790</v>
      </c>
      <c r="N44" s="115">
        <v>0.7</v>
      </c>
      <c r="O44" s="112">
        <f>Tbl_2025[[#This Row],[Ratio]]*Tbl_2025[[#This Row],[Wt. Befor ratio]]</f>
        <v>5453</v>
      </c>
      <c r="P44" s="112" t="s">
        <v>84</v>
      </c>
      <c r="Q44" s="112">
        <v>2915</v>
      </c>
      <c r="R44" s="113">
        <v>46034</v>
      </c>
      <c r="S44" s="112">
        <v>4</v>
      </c>
      <c r="T44" s="112" t="s">
        <v>83</v>
      </c>
      <c r="U44" s="156"/>
    </row>
    <row r="45" spans="1:21" x14ac:dyDescent="0.25">
      <c r="A45" s="112">
        <v>139744</v>
      </c>
      <c r="B45" s="113">
        <v>45946</v>
      </c>
      <c r="C45" s="112" t="s">
        <v>143</v>
      </c>
      <c r="D45" s="112" t="s">
        <v>95</v>
      </c>
      <c r="E45" s="112" t="s">
        <v>0</v>
      </c>
      <c r="F45" s="112" t="s">
        <v>167</v>
      </c>
      <c r="G45" s="112" t="s">
        <v>253</v>
      </c>
      <c r="H45" s="112" t="s">
        <v>260</v>
      </c>
      <c r="I45" s="112">
        <v>290</v>
      </c>
      <c r="J45" s="112">
        <v>4755</v>
      </c>
      <c r="K45" s="112">
        <v>50</v>
      </c>
      <c r="L45" s="112"/>
      <c r="M45" s="112">
        <v>4705</v>
      </c>
      <c r="N45" s="115">
        <v>0.63</v>
      </c>
      <c r="O45" s="112">
        <f>Tbl_2025[[#This Row],[Ratio]]*Tbl_2025[[#This Row],[Wt. Befor ratio]]</f>
        <v>2964.15</v>
      </c>
      <c r="P45" s="112" t="s">
        <v>84</v>
      </c>
      <c r="Q45" s="112">
        <v>2923</v>
      </c>
      <c r="R45" s="113">
        <v>46041</v>
      </c>
      <c r="S45" s="112">
        <v>4</v>
      </c>
      <c r="T45" s="112" t="s">
        <v>332</v>
      </c>
      <c r="U45" s="156"/>
    </row>
    <row r="46" spans="1:21" x14ac:dyDescent="0.25">
      <c r="A46" s="112">
        <v>139745</v>
      </c>
      <c r="B46" s="113">
        <v>45946</v>
      </c>
      <c r="C46" s="112" t="s">
        <v>146</v>
      </c>
      <c r="D46" s="112" t="s">
        <v>95</v>
      </c>
      <c r="E46" s="112" t="s">
        <v>0</v>
      </c>
      <c r="F46" s="112" t="s">
        <v>167</v>
      </c>
      <c r="G46" s="112" t="s">
        <v>253</v>
      </c>
      <c r="H46" s="112" t="s">
        <v>260</v>
      </c>
      <c r="I46" s="112">
        <v>280</v>
      </c>
      <c r="J46" s="112">
        <v>5460</v>
      </c>
      <c r="K46" s="112">
        <v>50</v>
      </c>
      <c r="L46" s="112"/>
      <c r="M46" s="112">
        <v>5410</v>
      </c>
      <c r="N46" s="115">
        <v>0.61</v>
      </c>
      <c r="O46" s="112">
        <f>Tbl_2025[[#This Row],[Ratio]]*Tbl_2025[[#This Row],[Wt. Befor ratio]]</f>
        <v>3300.1</v>
      </c>
      <c r="P46" s="112"/>
      <c r="Q46" s="112"/>
      <c r="R46" s="112"/>
      <c r="S46" s="112"/>
      <c r="T46" s="112" t="s">
        <v>83</v>
      </c>
      <c r="U46" s="156"/>
    </row>
    <row r="47" spans="1:21" x14ac:dyDescent="0.25">
      <c r="A47" s="112">
        <v>139747</v>
      </c>
      <c r="B47" s="113">
        <v>45948</v>
      </c>
      <c r="C47" s="112" t="s">
        <v>168</v>
      </c>
      <c r="D47" s="112" t="s">
        <v>58</v>
      </c>
      <c r="E47" s="112" t="s">
        <v>3</v>
      </c>
      <c r="F47" s="112" t="s">
        <v>99</v>
      </c>
      <c r="G47" s="112" t="s">
        <v>254</v>
      </c>
      <c r="H47" s="112" t="s">
        <v>61</v>
      </c>
      <c r="I47" s="112">
        <v>166</v>
      </c>
      <c r="J47" s="112">
        <v>2275</v>
      </c>
      <c r="K47" s="112">
        <v>25</v>
      </c>
      <c r="L47" s="112">
        <v>42</v>
      </c>
      <c r="M47" s="112">
        <v>2208</v>
      </c>
      <c r="N47" s="115">
        <v>0.52</v>
      </c>
      <c r="O47" s="112">
        <f>Tbl_2025[[#This Row],[Ratio]]*Tbl_2025[[#This Row],[Wt. Befor ratio]]</f>
        <v>1148.1600000000001</v>
      </c>
      <c r="P47" s="112"/>
      <c r="Q47" s="112"/>
      <c r="R47" s="112"/>
      <c r="S47" s="112"/>
      <c r="T47" s="112" t="s">
        <v>124</v>
      </c>
      <c r="U47" s="156" t="s">
        <v>169</v>
      </c>
    </row>
    <row r="48" spans="1:21" x14ac:dyDescent="0.25">
      <c r="A48" s="112">
        <v>139748</v>
      </c>
      <c r="B48" s="113">
        <v>45948</v>
      </c>
      <c r="C48" s="112" t="s">
        <v>127</v>
      </c>
      <c r="D48" s="112" t="s">
        <v>58</v>
      </c>
      <c r="E48" s="112" t="s">
        <v>3</v>
      </c>
      <c r="F48" s="112" t="s">
        <v>99</v>
      </c>
      <c r="G48" s="112" t="s">
        <v>254</v>
      </c>
      <c r="H48" s="112" t="s">
        <v>61</v>
      </c>
      <c r="I48" s="112">
        <v>121</v>
      </c>
      <c r="J48" s="112">
        <v>2310</v>
      </c>
      <c r="K48" s="112">
        <v>25</v>
      </c>
      <c r="L48" s="112">
        <v>30</v>
      </c>
      <c r="M48" s="112">
        <v>2255</v>
      </c>
      <c r="N48" s="115">
        <v>0.6</v>
      </c>
      <c r="O48" s="112">
        <f>Tbl_2025[[#This Row],[Ratio]]*Tbl_2025[[#This Row],[Wt. Befor ratio]]</f>
        <v>1353</v>
      </c>
      <c r="P48" s="112"/>
      <c r="Q48" s="112"/>
      <c r="R48" s="112"/>
      <c r="S48" s="112"/>
      <c r="T48" s="112" t="s">
        <v>124</v>
      </c>
      <c r="U48" s="156" t="s">
        <v>170</v>
      </c>
    </row>
    <row r="49" spans="1:21" ht="30" x14ac:dyDescent="0.25">
      <c r="A49" s="112">
        <v>139749</v>
      </c>
      <c r="B49" s="113">
        <v>45948</v>
      </c>
      <c r="C49" s="112" t="s">
        <v>150</v>
      </c>
      <c r="D49" s="112" t="s">
        <v>58</v>
      </c>
      <c r="E49" s="112" t="s">
        <v>0</v>
      </c>
      <c r="F49" s="112" t="s">
        <v>167</v>
      </c>
      <c r="G49" s="112" t="s">
        <v>254</v>
      </c>
      <c r="H49" s="112" t="s">
        <v>260</v>
      </c>
      <c r="I49" s="112">
        <v>771</v>
      </c>
      <c r="J49" s="112">
        <v>13636</v>
      </c>
      <c r="K49" s="112">
        <v>150</v>
      </c>
      <c r="L49" s="112"/>
      <c r="M49" s="112">
        <v>13486</v>
      </c>
      <c r="N49" s="115">
        <v>0.49</v>
      </c>
      <c r="O49" s="112">
        <f>Tbl_2025[[#This Row],[Ratio]]*Tbl_2025[[#This Row],[Wt. Befor ratio]]</f>
        <v>6608.14</v>
      </c>
      <c r="P49" s="112" t="s">
        <v>84</v>
      </c>
      <c r="Q49" s="113">
        <v>46033</v>
      </c>
      <c r="R49" s="112">
        <v>2911</v>
      </c>
      <c r="S49" s="112" t="s">
        <v>515</v>
      </c>
      <c r="T49" s="112" t="s">
        <v>83</v>
      </c>
      <c r="U49" s="157" t="s">
        <v>514</v>
      </c>
    </row>
    <row r="50" spans="1:21" x14ac:dyDescent="0.25">
      <c r="A50" s="112">
        <v>139750</v>
      </c>
      <c r="B50" s="113">
        <v>45950</v>
      </c>
      <c r="C50" s="112" t="s">
        <v>144</v>
      </c>
      <c r="D50" s="112" t="s">
        <v>95</v>
      </c>
      <c r="E50" s="112" t="s">
        <v>0</v>
      </c>
      <c r="F50" s="112" t="s">
        <v>167</v>
      </c>
      <c r="G50" s="112" t="s">
        <v>253</v>
      </c>
      <c r="H50" s="112" t="s">
        <v>260</v>
      </c>
      <c r="I50" s="112">
        <v>390</v>
      </c>
      <c r="J50" s="112">
        <v>8540</v>
      </c>
      <c r="K50" s="112">
        <v>75</v>
      </c>
      <c r="L50" s="112"/>
      <c r="M50" s="112">
        <v>8465</v>
      </c>
      <c r="N50" s="115">
        <v>0.66</v>
      </c>
      <c r="O50" s="112">
        <f>Tbl_2025[[#This Row],[Ratio]]*Tbl_2025[[#This Row],[Wt. Befor ratio]]</f>
        <v>5586.9000000000005</v>
      </c>
      <c r="P50" s="112" t="s">
        <v>84</v>
      </c>
      <c r="Q50" s="112">
        <v>2923</v>
      </c>
      <c r="R50" s="113">
        <v>46041</v>
      </c>
      <c r="S50" s="112">
        <v>4</v>
      </c>
      <c r="T50" s="112" t="s">
        <v>83</v>
      </c>
      <c r="U50" s="156"/>
    </row>
    <row r="51" spans="1:21" x14ac:dyDescent="0.25">
      <c r="A51" s="112">
        <v>139751</v>
      </c>
      <c r="B51" s="113">
        <v>45950</v>
      </c>
      <c r="C51" s="112" t="s">
        <v>150</v>
      </c>
      <c r="D51" s="112" t="s">
        <v>95</v>
      </c>
      <c r="E51" s="112" t="s">
        <v>0</v>
      </c>
      <c r="F51" s="112" t="s">
        <v>167</v>
      </c>
      <c r="G51" s="112" t="s">
        <v>253</v>
      </c>
      <c r="H51" s="112" t="s">
        <v>260</v>
      </c>
      <c r="I51" s="112">
        <v>267</v>
      </c>
      <c r="J51" s="112">
        <v>5068</v>
      </c>
      <c r="K51" s="112">
        <v>50</v>
      </c>
      <c r="L51" s="112"/>
      <c r="M51" s="112">
        <v>5018</v>
      </c>
      <c r="N51" s="115">
        <v>0.66</v>
      </c>
      <c r="O51" s="112">
        <f>Tbl_2025[[#This Row],[Ratio]]*Tbl_2025[[#This Row],[Wt. Befor ratio]]</f>
        <v>3311.88</v>
      </c>
      <c r="P51" s="112" t="s">
        <v>84</v>
      </c>
      <c r="Q51" s="112">
        <v>2923</v>
      </c>
      <c r="R51" s="113">
        <v>46041</v>
      </c>
      <c r="S51" s="112">
        <v>4</v>
      </c>
      <c r="T51" s="112" t="s">
        <v>83</v>
      </c>
      <c r="U51" s="156"/>
    </row>
    <row r="52" spans="1:21" x14ac:dyDescent="0.25">
      <c r="A52" s="112">
        <v>139752</v>
      </c>
      <c r="B52" s="113">
        <v>45950</v>
      </c>
      <c r="C52" s="112" t="s">
        <v>156</v>
      </c>
      <c r="D52" s="112" t="s">
        <v>95</v>
      </c>
      <c r="E52" s="112" t="s">
        <v>0</v>
      </c>
      <c r="F52" s="112" t="s">
        <v>167</v>
      </c>
      <c r="G52" s="112" t="s">
        <v>253</v>
      </c>
      <c r="H52" s="112" t="s">
        <v>260</v>
      </c>
      <c r="I52" s="112">
        <v>255</v>
      </c>
      <c r="J52" s="112">
        <v>5032</v>
      </c>
      <c r="K52" s="112">
        <v>50</v>
      </c>
      <c r="L52" s="112"/>
      <c r="M52" s="112">
        <v>4982</v>
      </c>
      <c r="N52" s="115">
        <v>0.69</v>
      </c>
      <c r="O52" s="112">
        <f>Tbl_2025[[#This Row],[Ratio]]*Tbl_2025[[#This Row],[Wt. Befor ratio]]</f>
        <v>3437.58</v>
      </c>
      <c r="P52" s="112" t="s">
        <v>84</v>
      </c>
      <c r="Q52" s="112">
        <v>2915</v>
      </c>
      <c r="R52" s="113">
        <v>46034</v>
      </c>
      <c r="S52" s="112">
        <v>4</v>
      </c>
      <c r="T52" s="112" t="s">
        <v>83</v>
      </c>
      <c r="U52" s="156"/>
    </row>
    <row r="53" spans="1:21" ht="15.75" x14ac:dyDescent="0.25">
      <c r="A53" s="112">
        <v>139754</v>
      </c>
      <c r="B53" s="113">
        <v>45951</v>
      </c>
      <c r="C53" s="112" t="s">
        <v>111</v>
      </c>
      <c r="D53" s="112" t="s">
        <v>51</v>
      </c>
      <c r="E53" s="112" t="s">
        <v>5</v>
      </c>
      <c r="F53" s="112" t="s">
        <v>171</v>
      </c>
      <c r="G53" s="112" t="s">
        <v>253</v>
      </c>
      <c r="H53" s="112" t="s">
        <v>260</v>
      </c>
      <c r="I53" s="112">
        <v>85</v>
      </c>
      <c r="J53" s="112">
        <v>1322</v>
      </c>
      <c r="K53" s="112">
        <v>13</v>
      </c>
      <c r="L53" s="112">
        <v>21</v>
      </c>
      <c r="M53" s="112">
        <v>1288</v>
      </c>
      <c r="N53" s="115">
        <v>0.48</v>
      </c>
      <c r="O53" s="112">
        <f>Tbl_2025[[#This Row],[Ratio]]*Tbl_2025[[#This Row],[Wt. Befor ratio]]</f>
        <v>618.24</v>
      </c>
      <c r="P53" s="112"/>
      <c r="Q53" s="112"/>
      <c r="R53" s="112"/>
      <c r="S53" s="112"/>
      <c r="T53" s="112" t="s">
        <v>81</v>
      </c>
      <c r="U53" s="181" t="s">
        <v>172</v>
      </c>
    </row>
    <row r="54" spans="1:21" ht="15.75" x14ac:dyDescent="0.25">
      <c r="A54" s="112">
        <v>139756</v>
      </c>
      <c r="B54" s="113">
        <v>45953</v>
      </c>
      <c r="C54" s="112" t="s">
        <v>128</v>
      </c>
      <c r="D54" s="112" t="s">
        <v>58</v>
      </c>
      <c r="E54" s="112" t="s">
        <v>3</v>
      </c>
      <c r="F54" s="112" t="s">
        <v>99</v>
      </c>
      <c r="G54" s="112" t="s">
        <v>253</v>
      </c>
      <c r="H54" s="112" t="s">
        <v>61</v>
      </c>
      <c r="I54" s="112">
        <v>172</v>
      </c>
      <c r="J54" s="112">
        <v>4595</v>
      </c>
      <c r="K54" s="112">
        <v>50</v>
      </c>
      <c r="L54" s="112">
        <v>43</v>
      </c>
      <c r="M54" s="112">
        <v>4502</v>
      </c>
      <c r="N54" s="115">
        <v>0.49</v>
      </c>
      <c r="O54" s="112">
        <f>Tbl_2025[[#This Row],[Ratio]]*Tbl_2025[[#This Row],[Wt. Befor ratio]]</f>
        <v>2205.98</v>
      </c>
      <c r="P54" s="112"/>
      <c r="Q54" s="112"/>
      <c r="R54" s="112"/>
      <c r="S54" s="112"/>
      <c r="T54" s="112" t="s">
        <v>124</v>
      </c>
      <c r="U54" s="181" t="s">
        <v>174</v>
      </c>
    </row>
    <row r="55" spans="1:21" ht="15.75" x14ac:dyDescent="0.25">
      <c r="A55" s="112">
        <v>139757</v>
      </c>
      <c r="B55" s="113">
        <v>45953</v>
      </c>
      <c r="C55" s="112" t="s">
        <v>118</v>
      </c>
      <c r="D55" s="112" t="s">
        <v>58</v>
      </c>
      <c r="E55" s="112" t="s">
        <v>4</v>
      </c>
      <c r="F55" s="112" t="s">
        <v>153</v>
      </c>
      <c r="G55" s="112" t="s">
        <v>253</v>
      </c>
      <c r="H55" s="112" t="s">
        <v>61</v>
      </c>
      <c r="I55" s="112">
        <v>465</v>
      </c>
      <c r="J55" s="112">
        <v>9630</v>
      </c>
      <c r="K55" s="112">
        <v>96</v>
      </c>
      <c r="L55" s="112">
        <v>116</v>
      </c>
      <c r="M55" s="112">
        <v>9418</v>
      </c>
      <c r="N55" s="115">
        <v>0.56999999999999995</v>
      </c>
      <c r="O55" s="112">
        <f>Tbl_2025[[#This Row],[Ratio]]*Tbl_2025[[#This Row],[Wt. Befor ratio]]</f>
        <v>5368.2599999999993</v>
      </c>
      <c r="P55" s="112"/>
      <c r="Q55" s="112"/>
      <c r="R55" s="112"/>
      <c r="S55" s="112"/>
      <c r="T55" s="112" t="s">
        <v>105</v>
      </c>
      <c r="U55" s="181"/>
    </row>
    <row r="56" spans="1:21" ht="15.75" x14ac:dyDescent="0.25">
      <c r="A56" s="112">
        <v>139758</v>
      </c>
      <c r="B56" s="113">
        <v>45953</v>
      </c>
      <c r="C56" s="112" t="s">
        <v>157</v>
      </c>
      <c r="D56" s="112" t="s">
        <v>58</v>
      </c>
      <c r="E56" s="112" t="s">
        <v>4</v>
      </c>
      <c r="F56" s="112" t="s">
        <v>153</v>
      </c>
      <c r="G56" s="112" t="s">
        <v>253</v>
      </c>
      <c r="H56" s="112" t="s">
        <v>260</v>
      </c>
      <c r="I56" s="112">
        <v>236</v>
      </c>
      <c r="J56" s="112">
        <v>4335</v>
      </c>
      <c r="K56" s="112">
        <v>43</v>
      </c>
      <c r="L56" s="112">
        <v>59</v>
      </c>
      <c r="M56" s="112">
        <v>4233</v>
      </c>
      <c r="N56" s="115">
        <v>0.65</v>
      </c>
      <c r="O56" s="112">
        <f>Tbl_2025[[#This Row],[Ratio]]*Tbl_2025[[#This Row],[Wt. Befor ratio]]</f>
        <v>2751.4500000000003</v>
      </c>
      <c r="P56" s="112"/>
      <c r="Q56" s="112"/>
      <c r="R56" s="112"/>
      <c r="S56" s="112"/>
      <c r="T56" s="112" t="s">
        <v>105</v>
      </c>
      <c r="U56" s="181" t="s">
        <v>177</v>
      </c>
    </row>
    <row r="57" spans="1:21" ht="15.75" x14ac:dyDescent="0.25">
      <c r="A57" s="112">
        <v>139783</v>
      </c>
      <c r="B57" s="113">
        <v>45969</v>
      </c>
      <c r="C57" s="112" t="s">
        <v>129</v>
      </c>
      <c r="D57" s="112" t="s">
        <v>58</v>
      </c>
      <c r="E57" s="112" t="s">
        <v>3</v>
      </c>
      <c r="F57" s="112" t="s">
        <v>99</v>
      </c>
      <c r="G57" s="112" t="s">
        <v>257</v>
      </c>
      <c r="H57" s="112" t="s">
        <v>61</v>
      </c>
      <c r="I57" s="112">
        <v>200</v>
      </c>
      <c r="J57" s="112">
        <v>4760</v>
      </c>
      <c r="K57" s="112">
        <v>50</v>
      </c>
      <c r="L57" s="112">
        <v>50</v>
      </c>
      <c r="M57" s="112">
        <v>4660</v>
      </c>
      <c r="N57" s="115">
        <v>0.63</v>
      </c>
      <c r="O57" s="112">
        <f>Tbl_2025[[#This Row],[Ratio]]*Tbl_2025[[#This Row],[Wt. Befor ratio]]</f>
        <v>2935.8</v>
      </c>
      <c r="P57" s="112"/>
      <c r="Q57" s="112"/>
      <c r="R57" s="112"/>
      <c r="S57" s="112"/>
      <c r="T57" s="112" t="s">
        <v>158</v>
      </c>
      <c r="U57" s="184" t="s">
        <v>179</v>
      </c>
    </row>
    <row r="58" spans="1:21" ht="15.75" x14ac:dyDescent="0.25">
      <c r="A58" s="112">
        <v>139787</v>
      </c>
      <c r="B58" s="113">
        <v>45971</v>
      </c>
      <c r="C58" s="112" t="s">
        <v>130</v>
      </c>
      <c r="D58" s="112" t="s">
        <v>58</v>
      </c>
      <c r="E58" s="112" t="s">
        <v>3</v>
      </c>
      <c r="F58" s="112" t="s">
        <v>99</v>
      </c>
      <c r="G58" s="112" t="s">
        <v>253</v>
      </c>
      <c r="H58" s="112" t="s">
        <v>61</v>
      </c>
      <c r="I58" s="112">
        <v>226</v>
      </c>
      <c r="J58" s="112">
        <v>5465</v>
      </c>
      <c r="K58" s="112">
        <v>50</v>
      </c>
      <c r="L58" s="112">
        <v>57</v>
      </c>
      <c r="M58" s="112">
        <v>5358</v>
      </c>
      <c r="N58" s="115">
        <v>0.62</v>
      </c>
      <c r="O58" s="112">
        <f>Tbl_2025[[#This Row],[Ratio]]*Tbl_2025[[#This Row],[Wt. Befor ratio]]</f>
        <v>3321.96</v>
      </c>
      <c r="P58" s="112"/>
      <c r="Q58" s="112"/>
      <c r="R58" s="112"/>
      <c r="S58" s="112"/>
      <c r="T58" s="112" t="s">
        <v>158</v>
      </c>
      <c r="U58" s="165" t="s">
        <v>191</v>
      </c>
    </row>
    <row r="59" spans="1:21" x14ac:dyDescent="0.25">
      <c r="A59" s="112">
        <v>139789</v>
      </c>
      <c r="B59" s="113">
        <v>45974</v>
      </c>
      <c r="C59" s="112" t="s">
        <v>131</v>
      </c>
      <c r="D59" s="112" t="s">
        <v>58</v>
      </c>
      <c r="E59" s="112" t="s">
        <v>3</v>
      </c>
      <c r="F59" s="112" t="s">
        <v>99</v>
      </c>
      <c r="G59" s="112" t="s">
        <v>257</v>
      </c>
      <c r="H59" s="112" t="s">
        <v>61</v>
      </c>
      <c r="I59" s="112">
        <v>106</v>
      </c>
      <c r="J59" s="112">
        <v>2495</v>
      </c>
      <c r="K59" s="112">
        <v>25</v>
      </c>
      <c r="L59" s="112">
        <v>27</v>
      </c>
      <c r="M59" s="112">
        <v>2443</v>
      </c>
      <c r="N59" s="115">
        <v>0.65</v>
      </c>
      <c r="O59" s="112">
        <f>Tbl_2025[[#This Row],[Ratio]]*Tbl_2025[[#This Row],[Wt. Befor ratio]]</f>
        <v>1587.95</v>
      </c>
      <c r="P59" s="112"/>
      <c r="Q59" s="112"/>
      <c r="R59" s="112"/>
      <c r="S59" s="112"/>
      <c r="T59" s="112" t="s">
        <v>158</v>
      </c>
      <c r="U59" s="156" t="s">
        <v>173</v>
      </c>
    </row>
    <row r="60" spans="1:21" x14ac:dyDescent="0.25">
      <c r="A60" s="112">
        <v>139794</v>
      </c>
      <c r="B60" s="113">
        <v>45975</v>
      </c>
      <c r="C60" s="112" t="s">
        <v>118</v>
      </c>
      <c r="D60" s="112" t="s">
        <v>58</v>
      </c>
      <c r="E60" s="112" t="s">
        <v>5</v>
      </c>
      <c r="F60" s="112" t="s">
        <v>171</v>
      </c>
      <c r="G60" s="112" t="s">
        <v>253</v>
      </c>
      <c r="H60" s="112" t="s">
        <v>260</v>
      </c>
      <c r="I60" s="112">
        <v>480</v>
      </c>
      <c r="J60" s="112">
        <v>2875</v>
      </c>
      <c r="K60" s="112">
        <v>29</v>
      </c>
      <c r="L60" s="112"/>
      <c r="M60" s="112">
        <v>2846</v>
      </c>
      <c r="N60" s="115">
        <v>0.45</v>
      </c>
      <c r="O60" s="112">
        <f>Tbl_2025[[#This Row],[Ratio]]*Tbl_2025[[#This Row],[Wt. Befor ratio]]</f>
        <v>1280.7</v>
      </c>
      <c r="P60" s="112"/>
      <c r="Q60" s="112"/>
      <c r="R60" s="112"/>
      <c r="S60" s="112"/>
      <c r="T60" s="112" t="s">
        <v>105</v>
      </c>
      <c r="U60" s="156" t="s">
        <v>174</v>
      </c>
    </row>
    <row r="61" spans="1:21" x14ac:dyDescent="0.25">
      <c r="A61" s="112">
        <v>139795</v>
      </c>
      <c r="B61" s="113">
        <v>45976</v>
      </c>
      <c r="C61" s="112" t="s">
        <v>111</v>
      </c>
      <c r="D61" s="112" t="s">
        <v>56</v>
      </c>
      <c r="E61" s="112" t="s">
        <v>204</v>
      </c>
      <c r="F61" s="112" t="s">
        <v>175</v>
      </c>
      <c r="G61" s="112" t="s">
        <v>252</v>
      </c>
      <c r="H61" s="112" t="s">
        <v>260</v>
      </c>
      <c r="I61" s="112">
        <v>265</v>
      </c>
      <c r="J61" s="112">
        <v>15695</v>
      </c>
      <c r="K61" s="112">
        <v>100</v>
      </c>
      <c r="L61" s="112">
        <v>66</v>
      </c>
      <c r="M61" s="112">
        <v>15529</v>
      </c>
      <c r="N61" s="115">
        <v>0.86599999999999999</v>
      </c>
      <c r="O61" s="112">
        <f>Tbl_2025[[#This Row],[Ratio]]*Tbl_2025[[#This Row],[Wt. Befor ratio]]</f>
        <v>13448.114</v>
      </c>
      <c r="P61" s="112" t="s">
        <v>84</v>
      </c>
      <c r="Q61" s="112">
        <v>2922</v>
      </c>
      <c r="R61" s="113">
        <v>46041</v>
      </c>
      <c r="S61" s="112">
        <v>12</v>
      </c>
      <c r="T61" s="112" t="s">
        <v>176</v>
      </c>
      <c r="U61" s="156" t="s">
        <v>522</v>
      </c>
    </row>
    <row r="62" spans="1:21" x14ac:dyDescent="0.25">
      <c r="A62" s="112">
        <v>139797</v>
      </c>
      <c r="B62" s="113">
        <v>45978</v>
      </c>
      <c r="C62" s="112" t="s">
        <v>111</v>
      </c>
      <c r="D62" s="112" t="s">
        <v>45</v>
      </c>
      <c r="E62" s="112" t="s">
        <v>5</v>
      </c>
      <c r="F62" s="112" t="s">
        <v>171</v>
      </c>
      <c r="G62" s="112" t="s">
        <v>253</v>
      </c>
      <c r="H62" s="112" t="s">
        <v>260</v>
      </c>
      <c r="I62" s="112">
        <v>256</v>
      </c>
      <c r="J62" s="112">
        <v>5480</v>
      </c>
      <c r="K62" s="112">
        <v>55</v>
      </c>
      <c r="L62" s="112"/>
      <c r="M62" s="112">
        <v>5425</v>
      </c>
      <c r="N62" s="115">
        <v>0.68</v>
      </c>
      <c r="O62" s="112">
        <f>Tbl_2025[[#This Row],[Ratio]]*Tbl_2025[[#This Row],[Wt. Befor ratio]]</f>
        <v>3689.0000000000005</v>
      </c>
      <c r="P62" s="112"/>
      <c r="Q62" s="112"/>
      <c r="R62" s="112"/>
      <c r="S62" s="112"/>
      <c r="T62" s="112" t="s">
        <v>124</v>
      </c>
      <c r="U62" s="156"/>
    </row>
    <row r="63" spans="1:21" x14ac:dyDescent="0.25">
      <c r="A63" s="112">
        <v>139798</v>
      </c>
      <c r="B63" s="113">
        <v>45978</v>
      </c>
      <c r="C63" s="112" t="s">
        <v>157</v>
      </c>
      <c r="D63" s="112" t="s">
        <v>58</v>
      </c>
      <c r="E63" s="112" t="s">
        <v>5</v>
      </c>
      <c r="F63" s="112" t="s">
        <v>171</v>
      </c>
      <c r="G63" s="112" t="s">
        <v>254</v>
      </c>
      <c r="H63" s="112" t="s">
        <v>260</v>
      </c>
      <c r="I63" s="112">
        <v>346</v>
      </c>
      <c r="J63" s="112">
        <v>2255</v>
      </c>
      <c r="K63" s="112">
        <v>23</v>
      </c>
      <c r="L63" s="112"/>
      <c r="M63" s="112">
        <v>2232</v>
      </c>
      <c r="N63" s="115">
        <v>0.38</v>
      </c>
      <c r="O63" s="112">
        <f>Tbl_2025[[#This Row],[Ratio]]*Tbl_2025[[#This Row],[Wt. Befor ratio]]</f>
        <v>848.16</v>
      </c>
      <c r="P63" s="112"/>
      <c r="Q63" s="112"/>
      <c r="R63" s="112"/>
      <c r="S63" s="112"/>
      <c r="T63" s="112" t="s">
        <v>105</v>
      </c>
      <c r="U63" s="156" t="s">
        <v>177</v>
      </c>
    </row>
    <row r="64" spans="1:21" x14ac:dyDescent="0.25">
      <c r="A64" s="112">
        <v>139799</v>
      </c>
      <c r="B64" s="113">
        <v>45978</v>
      </c>
      <c r="C64" s="112" t="s">
        <v>113</v>
      </c>
      <c r="D64" s="112" t="s">
        <v>58</v>
      </c>
      <c r="E64" s="112" t="s">
        <v>207</v>
      </c>
      <c r="F64" s="112" t="s">
        <v>148</v>
      </c>
      <c r="G64" s="112" t="s">
        <v>253</v>
      </c>
      <c r="H64" s="112" t="s">
        <v>260</v>
      </c>
      <c r="I64" s="112">
        <v>82</v>
      </c>
      <c r="J64" s="112">
        <v>500</v>
      </c>
      <c r="K64" s="112">
        <v>5</v>
      </c>
      <c r="L64" s="112">
        <v>21</v>
      </c>
      <c r="M64" s="112">
        <v>474</v>
      </c>
      <c r="N64" s="115">
        <v>0.48</v>
      </c>
      <c r="O64" s="112">
        <f>Tbl_2025[[#This Row],[Ratio]]*Tbl_2025[[#This Row],[Wt. Befor ratio]]</f>
        <v>227.51999999999998</v>
      </c>
      <c r="P64" s="112" t="s">
        <v>84</v>
      </c>
      <c r="Q64" s="112">
        <v>2929</v>
      </c>
      <c r="R64" s="112" t="s">
        <v>535</v>
      </c>
      <c r="S64" s="112">
        <v>17</v>
      </c>
      <c r="T64" s="112" t="s">
        <v>105</v>
      </c>
      <c r="U64" s="156" t="s">
        <v>177</v>
      </c>
    </row>
    <row r="65" spans="1:21" x14ac:dyDescent="0.25">
      <c r="A65" s="112">
        <v>139800</v>
      </c>
      <c r="B65" s="113">
        <v>45978</v>
      </c>
      <c r="C65" s="112" t="s">
        <v>113</v>
      </c>
      <c r="D65" s="112" t="s">
        <v>45</v>
      </c>
      <c r="E65" s="112" t="s">
        <v>5</v>
      </c>
      <c r="F65" s="112" t="s">
        <v>171</v>
      </c>
      <c r="G65" s="112" t="s">
        <v>253</v>
      </c>
      <c r="H65" s="112" t="s">
        <v>260</v>
      </c>
      <c r="I65" s="112">
        <v>249</v>
      </c>
      <c r="J65" s="112">
        <v>4916</v>
      </c>
      <c r="K65" s="112">
        <v>49</v>
      </c>
      <c r="L65" s="112"/>
      <c r="M65" s="112">
        <v>4867</v>
      </c>
      <c r="N65" s="115">
        <v>0.71</v>
      </c>
      <c r="O65" s="112">
        <f>Tbl_2025[[#This Row],[Ratio]]*Tbl_2025[[#This Row],[Wt. Befor ratio]]</f>
        <v>3455.5699999999997</v>
      </c>
      <c r="P65" s="112"/>
      <c r="Q65" s="112"/>
      <c r="R65" s="112"/>
      <c r="S65" s="112" t="s">
        <v>178</v>
      </c>
      <c r="T65" s="112" t="s">
        <v>124</v>
      </c>
      <c r="U65" s="160" t="s">
        <v>179</v>
      </c>
    </row>
    <row r="66" spans="1:21" x14ac:dyDescent="0.25">
      <c r="A66" s="112">
        <v>139806</v>
      </c>
      <c r="B66" s="113">
        <v>45984</v>
      </c>
      <c r="C66" s="112" t="s">
        <v>180</v>
      </c>
      <c r="D66" s="112" t="s">
        <v>32</v>
      </c>
      <c r="E66" s="112" t="s">
        <v>204</v>
      </c>
      <c r="F66" s="112" t="s">
        <v>175</v>
      </c>
      <c r="G66" s="112" t="s">
        <v>254</v>
      </c>
      <c r="H66" s="112" t="s">
        <v>260</v>
      </c>
      <c r="I66" s="112">
        <v>171</v>
      </c>
      <c r="J66" s="112">
        <v>8870</v>
      </c>
      <c r="K66" s="112">
        <v>50</v>
      </c>
      <c r="L66" s="112">
        <v>43</v>
      </c>
      <c r="M66" s="112">
        <v>8777</v>
      </c>
      <c r="N66" s="115">
        <v>0.83</v>
      </c>
      <c r="O66" s="112">
        <f>Tbl_2025[[#This Row],[Ratio]]*Tbl_2025[[#This Row],[Wt. Befor ratio]]</f>
        <v>7284.91</v>
      </c>
      <c r="P66" s="112" t="s">
        <v>84</v>
      </c>
      <c r="Q66" s="112">
        <v>2921</v>
      </c>
      <c r="R66" s="113">
        <v>46041</v>
      </c>
      <c r="S66" s="112">
        <v>11</v>
      </c>
      <c r="T66" s="112" t="s">
        <v>176</v>
      </c>
      <c r="U66" s="156" t="s">
        <v>181</v>
      </c>
    </row>
    <row r="67" spans="1:21" x14ac:dyDescent="0.25">
      <c r="A67" s="112">
        <v>139820</v>
      </c>
      <c r="B67" s="113">
        <v>45986</v>
      </c>
      <c r="C67" s="112" t="s">
        <v>115</v>
      </c>
      <c r="D67" s="112" t="s">
        <v>43</v>
      </c>
      <c r="E67" s="112" t="s">
        <v>3</v>
      </c>
      <c r="F67" s="112" t="s">
        <v>99</v>
      </c>
      <c r="G67" s="112" t="s">
        <v>252</v>
      </c>
      <c r="H67" s="112" t="s">
        <v>260</v>
      </c>
      <c r="I67" s="112">
        <v>217</v>
      </c>
      <c r="J67" s="112">
        <v>5754</v>
      </c>
      <c r="K67" s="112">
        <v>50</v>
      </c>
      <c r="L67" s="112"/>
      <c r="M67" s="112">
        <v>5704</v>
      </c>
      <c r="N67" s="115">
        <v>0.51</v>
      </c>
      <c r="O67" s="112">
        <f>Tbl_2025[[#This Row],[Ratio]]*Tbl_2025[[#This Row],[Wt. Befor ratio]]</f>
        <v>2909.04</v>
      </c>
      <c r="P67" s="112" t="s">
        <v>84</v>
      </c>
      <c r="Q67" s="112">
        <v>2910</v>
      </c>
      <c r="R67" s="113">
        <v>46027</v>
      </c>
      <c r="S67" s="112">
        <v>1</v>
      </c>
      <c r="T67" s="112" t="s">
        <v>332</v>
      </c>
      <c r="U67" s="156" t="s">
        <v>182</v>
      </c>
    </row>
    <row r="68" spans="1:21" x14ac:dyDescent="0.25">
      <c r="A68" s="112">
        <v>139822</v>
      </c>
      <c r="B68" s="113">
        <v>45987</v>
      </c>
      <c r="C68" s="112" t="s">
        <v>183</v>
      </c>
      <c r="D68" s="112" t="s">
        <v>26</v>
      </c>
      <c r="E68" s="112" t="s">
        <v>3</v>
      </c>
      <c r="F68" s="112" t="s">
        <v>99</v>
      </c>
      <c r="G68" s="112" t="s">
        <v>252</v>
      </c>
      <c r="H68" s="112" t="s">
        <v>62</v>
      </c>
      <c r="I68" s="112">
        <v>310</v>
      </c>
      <c r="J68" s="112">
        <v>6295</v>
      </c>
      <c r="K68" s="112"/>
      <c r="L68" s="112">
        <v>310</v>
      </c>
      <c r="M68" s="112">
        <v>5985</v>
      </c>
      <c r="N68" s="115">
        <v>0.74</v>
      </c>
      <c r="O68" s="112">
        <f>Tbl_2025[[#This Row],[Ratio]]*Tbl_2025[[#This Row],[Wt. Befor ratio]]</f>
        <v>4428.8999999999996</v>
      </c>
      <c r="P68" s="112" t="s">
        <v>84</v>
      </c>
      <c r="Q68" s="112">
        <v>2906</v>
      </c>
      <c r="R68" s="113">
        <v>46023</v>
      </c>
      <c r="S68" s="112">
        <v>1</v>
      </c>
      <c r="T68" s="112" t="s">
        <v>124</v>
      </c>
      <c r="U68" s="156"/>
    </row>
    <row r="69" spans="1:21" x14ac:dyDescent="0.25">
      <c r="A69" s="112">
        <v>139825</v>
      </c>
      <c r="B69" s="113">
        <v>45988</v>
      </c>
      <c r="C69" s="112" t="s">
        <v>184</v>
      </c>
      <c r="D69" s="112" t="s">
        <v>26</v>
      </c>
      <c r="E69" s="112" t="s">
        <v>3</v>
      </c>
      <c r="F69" s="112" t="s">
        <v>99</v>
      </c>
      <c r="G69" s="112" t="s">
        <v>252</v>
      </c>
      <c r="H69" s="112" t="s">
        <v>62</v>
      </c>
      <c r="I69" s="112">
        <v>305</v>
      </c>
      <c r="J69" s="112">
        <v>5995</v>
      </c>
      <c r="K69" s="112"/>
      <c r="L69" s="112">
        <v>305</v>
      </c>
      <c r="M69" s="112">
        <v>5690</v>
      </c>
      <c r="N69" s="115">
        <v>0.76</v>
      </c>
      <c r="O69" s="112">
        <f>Tbl_2025[[#This Row],[Ratio]]*Tbl_2025[[#This Row],[Wt. Befor ratio]]</f>
        <v>4324.3999999999996</v>
      </c>
      <c r="P69" s="112" t="s">
        <v>84</v>
      </c>
      <c r="Q69" s="112">
        <v>2906</v>
      </c>
      <c r="R69" s="113">
        <v>46023</v>
      </c>
      <c r="S69" s="112">
        <v>1</v>
      </c>
      <c r="T69" s="112" t="s">
        <v>124</v>
      </c>
      <c r="U69" s="156"/>
    </row>
    <row r="70" spans="1:21" x14ac:dyDescent="0.25">
      <c r="A70" s="112">
        <v>139826</v>
      </c>
      <c r="B70" s="113">
        <v>45990</v>
      </c>
      <c r="C70" s="112" t="s">
        <v>143</v>
      </c>
      <c r="D70" s="112" t="s">
        <v>43</v>
      </c>
      <c r="E70" s="112" t="s">
        <v>3</v>
      </c>
      <c r="F70" s="112" t="s">
        <v>99</v>
      </c>
      <c r="G70" s="112" t="s">
        <v>257</v>
      </c>
      <c r="H70" s="112" t="s">
        <v>260</v>
      </c>
      <c r="I70" s="112">
        <v>253</v>
      </c>
      <c r="J70" s="112">
        <v>5230</v>
      </c>
      <c r="K70" s="112">
        <v>52</v>
      </c>
      <c r="L70" s="112"/>
      <c r="M70" s="112">
        <v>5178</v>
      </c>
      <c r="N70" s="115">
        <v>0.56200000000000006</v>
      </c>
      <c r="O70" s="112">
        <f>Tbl_2025[[#This Row],[Ratio]]*Tbl_2025[[#This Row],[Wt. Befor ratio]]</f>
        <v>2910.0360000000001</v>
      </c>
      <c r="P70" s="112"/>
      <c r="Q70" s="112"/>
      <c r="R70" s="112"/>
      <c r="S70" s="112"/>
      <c r="T70" s="112" t="s">
        <v>83</v>
      </c>
      <c r="U70" s="156" t="s">
        <v>185</v>
      </c>
    </row>
    <row r="71" spans="1:21" x14ac:dyDescent="0.25">
      <c r="A71" s="112">
        <v>139827</v>
      </c>
      <c r="B71" s="113">
        <v>45990</v>
      </c>
      <c r="C71" s="112" t="s">
        <v>146</v>
      </c>
      <c r="D71" s="112" t="s">
        <v>43</v>
      </c>
      <c r="E71" s="112" t="s">
        <v>3</v>
      </c>
      <c r="F71" s="112" t="s">
        <v>99</v>
      </c>
      <c r="G71" s="112" t="s">
        <v>257</v>
      </c>
      <c r="H71" s="112" t="s">
        <v>260</v>
      </c>
      <c r="I71" s="112">
        <v>235</v>
      </c>
      <c r="J71" s="112">
        <v>4972</v>
      </c>
      <c r="K71" s="112">
        <v>50</v>
      </c>
      <c r="L71" s="112"/>
      <c r="M71" s="112">
        <v>4922</v>
      </c>
      <c r="N71" s="115">
        <v>0.56200000000000006</v>
      </c>
      <c r="O71" s="112">
        <f>Tbl_2025[[#This Row],[Ratio]]*Tbl_2025[[#This Row],[Wt. Befor ratio]]</f>
        <v>2766.1640000000002</v>
      </c>
      <c r="P71" s="112"/>
      <c r="Q71" s="112"/>
      <c r="R71" s="112"/>
      <c r="S71" s="112"/>
      <c r="T71" s="112" t="s">
        <v>83</v>
      </c>
      <c r="U71" s="156" t="s">
        <v>185</v>
      </c>
    </row>
    <row r="72" spans="1:21" x14ac:dyDescent="0.25">
      <c r="A72" s="112">
        <v>139828</v>
      </c>
      <c r="B72" s="113">
        <v>45990</v>
      </c>
      <c r="C72" s="112" t="s">
        <v>144</v>
      </c>
      <c r="D72" s="112" t="s">
        <v>43</v>
      </c>
      <c r="E72" s="112" t="s">
        <v>3</v>
      </c>
      <c r="F72" s="112" t="s">
        <v>99</v>
      </c>
      <c r="G72" s="112" t="s">
        <v>257</v>
      </c>
      <c r="H72" s="112" t="s">
        <v>260</v>
      </c>
      <c r="I72" s="112">
        <v>245</v>
      </c>
      <c r="J72" s="112">
        <v>5689</v>
      </c>
      <c r="K72" s="112">
        <v>57</v>
      </c>
      <c r="L72" s="112"/>
      <c r="M72" s="112">
        <v>5632</v>
      </c>
      <c r="N72" s="115">
        <v>0.57999999999999996</v>
      </c>
      <c r="O72" s="112">
        <f>Tbl_2025[[#This Row],[Ratio]]*Tbl_2025[[#This Row],[Wt. Befor ratio]]</f>
        <v>3266.56</v>
      </c>
      <c r="P72" s="112"/>
      <c r="Q72" s="112"/>
      <c r="R72" s="112"/>
      <c r="S72" s="112"/>
      <c r="T72" s="112" t="s">
        <v>83</v>
      </c>
      <c r="U72" s="156" t="s">
        <v>185</v>
      </c>
    </row>
    <row r="73" spans="1:21" x14ac:dyDescent="0.25">
      <c r="A73" s="112">
        <v>139829</v>
      </c>
      <c r="B73" s="113">
        <v>45991</v>
      </c>
      <c r="C73" s="112" t="s">
        <v>186</v>
      </c>
      <c r="D73" s="112" t="s">
        <v>26</v>
      </c>
      <c r="E73" s="112" t="s">
        <v>3</v>
      </c>
      <c r="F73" s="112" t="s">
        <v>99</v>
      </c>
      <c r="G73" s="112" t="s">
        <v>252</v>
      </c>
      <c r="H73" s="112" t="s">
        <v>62</v>
      </c>
      <c r="I73" s="112">
        <v>285</v>
      </c>
      <c r="J73" s="112">
        <v>5605</v>
      </c>
      <c r="K73" s="112"/>
      <c r="L73" s="112">
        <v>285</v>
      </c>
      <c r="M73" s="112">
        <v>5320</v>
      </c>
      <c r="N73" s="115">
        <v>0.77</v>
      </c>
      <c r="O73" s="112">
        <f>Tbl_2025[[#This Row],[Ratio]]*Tbl_2025[[#This Row],[Wt. Befor ratio]]</f>
        <v>4096.4000000000005</v>
      </c>
      <c r="P73" s="112" t="s">
        <v>84</v>
      </c>
      <c r="Q73" s="112">
        <v>2906</v>
      </c>
      <c r="R73" s="113">
        <v>46023</v>
      </c>
      <c r="S73" s="112">
        <v>1</v>
      </c>
      <c r="T73" s="112" t="s">
        <v>124</v>
      </c>
      <c r="U73" s="156"/>
    </row>
    <row r="74" spans="1:21" ht="15.75" x14ac:dyDescent="0.25">
      <c r="A74" s="112">
        <v>139830</v>
      </c>
      <c r="B74" s="113">
        <v>45991</v>
      </c>
      <c r="C74" s="112" t="s">
        <v>113</v>
      </c>
      <c r="D74" s="112" t="s">
        <v>45</v>
      </c>
      <c r="E74" s="112" t="s">
        <v>3</v>
      </c>
      <c r="F74" s="112" t="s">
        <v>99</v>
      </c>
      <c r="G74" s="112" t="s">
        <v>252</v>
      </c>
      <c r="H74" s="112" t="s">
        <v>260</v>
      </c>
      <c r="I74" s="112">
        <v>257</v>
      </c>
      <c r="J74" s="112">
        <v>6406</v>
      </c>
      <c r="K74" s="112">
        <v>50</v>
      </c>
      <c r="L74" s="112">
        <v>64</v>
      </c>
      <c r="M74" s="112">
        <v>6292</v>
      </c>
      <c r="N74" s="115">
        <v>0.55000000000000004</v>
      </c>
      <c r="O74" s="112">
        <f>Tbl_2025[[#This Row],[Ratio]]*Tbl_2025[[#This Row],[Wt. Befor ratio]]</f>
        <v>3460.6000000000004</v>
      </c>
      <c r="P74" s="112"/>
      <c r="Q74" s="112"/>
      <c r="R74" s="112"/>
      <c r="S74" s="112" t="s">
        <v>187</v>
      </c>
      <c r="T74" s="112" t="s">
        <v>81</v>
      </c>
      <c r="U74" s="183" t="s">
        <v>188</v>
      </c>
    </row>
    <row r="75" spans="1:21" x14ac:dyDescent="0.25">
      <c r="A75" s="112">
        <v>139831</v>
      </c>
      <c r="B75" s="113">
        <v>45991</v>
      </c>
      <c r="C75" s="112" t="s">
        <v>118</v>
      </c>
      <c r="D75" s="112" t="s">
        <v>45</v>
      </c>
      <c r="E75" s="112" t="s">
        <v>3</v>
      </c>
      <c r="F75" s="112" t="s">
        <v>99</v>
      </c>
      <c r="G75" s="112" t="s">
        <v>252</v>
      </c>
      <c r="H75" s="112" t="s">
        <v>260</v>
      </c>
      <c r="I75" s="112">
        <v>284</v>
      </c>
      <c r="J75" s="112">
        <v>7125</v>
      </c>
      <c r="K75" s="112">
        <v>75</v>
      </c>
      <c r="L75" s="112">
        <v>71</v>
      </c>
      <c r="M75" s="112">
        <v>6979</v>
      </c>
      <c r="N75" s="115">
        <v>0.55000000000000004</v>
      </c>
      <c r="O75" s="112">
        <f>Tbl_2025[[#This Row],[Ratio]]*Tbl_2025[[#This Row],[Wt. Befor ratio]]</f>
        <v>3838.4500000000003</v>
      </c>
      <c r="P75" s="112"/>
      <c r="Q75" s="112"/>
      <c r="R75" s="112"/>
      <c r="S75" s="112"/>
      <c r="T75" s="112" t="s">
        <v>124</v>
      </c>
      <c r="U75" s="156"/>
    </row>
    <row r="76" spans="1:21" x14ac:dyDescent="0.25">
      <c r="A76" s="112">
        <v>139835</v>
      </c>
      <c r="B76" s="113">
        <v>45993</v>
      </c>
      <c r="C76" s="112" t="s">
        <v>150</v>
      </c>
      <c r="D76" s="112" t="s">
        <v>43</v>
      </c>
      <c r="E76" s="112" t="s">
        <v>3</v>
      </c>
      <c r="F76" s="112" t="s">
        <v>99</v>
      </c>
      <c r="G76" s="112" t="s">
        <v>257</v>
      </c>
      <c r="H76" s="112" t="s">
        <v>260</v>
      </c>
      <c r="I76" s="112">
        <v>262</v>
      </c>
      <c r="J76" s="112">
        <v>5698</v>
      </c>
      <c r="K76" s="112">
        <v>57</v>
      </c>
      <c r="L76" s="112"/>
      <c r="M76" s="112">
        <v>5641</v>
      </c>
      <c r="N76" s="115">
        <v>0.54</v>
      </c>
      <c r="O76" s="112">
        <f>Tbl_2025[[#This Row],[Ratio]]*Tbl_2025[[#This Row],[Wt. Befor ratio]]</f>
        <v>3046.1400000000003</v>
      </c>
      <c r="P76" s="112"/>
      <c r="Q76" s="112"/>
      <c r="R76" s="112"/>
      <c r="S76" s="112"/>
      <c r="T76" s="112" t="s">
        <v>83</v>
      </c>
      <c r="U76" s="156" t="s">
        <v>107</v>
      </c>
    </row>
    <row r="77" spans="1:21" x14ac:dyDescent="0.25">
      <c r="A77" s="112">
        <v>139836</v>
      </c>
      <c r="B77" s="113">
        <v>45993</v>
      </c>
      <c r="C77" s="112" t="s">
        <v>156</v>
      </c>
      <c r="D77" s="112" t="s">
        <v>43</v>
      </c>
      <c r="E77" s="112" t="s">
        <v>3</v>
      </c>
      <c r="F77" s="112" t="s">
        <v>99</v>
      </c>
      <c r="G77" s="112" t="s">
        <v>257</v>
      </c>
      <c r="H77" s="112" t="s">
        <v>260</v>
      </c>
      <c r="I77" s="112">
        <v>268</v>
      </c>
      <c r="J77" s="112">
        <v>6104</v>
      </c>
      <c r="K77" s="112">
        <v>61</v>
      </c>
      <c r="L77" s="112"/>
      <c r="M77" s="112">
        <v>6043</v>
      </c>
      <c r="N77" s="115">
        <v>0.57999999999999996</v>
      </c>
      <c r="O77" s="112">
        <f>Tbl_2025[[#This Row],[Ratio]]*Tbl_2025[[#This Row],[Wt. Befor ratio]]</f>
        <v>3504.9399999999996</v>
      </c>
      <c r="P77" s="112"/>
      <c r="Q77" s="112"/>
      <c r="R77" s="112"/>
      <c r="S77" s="112"/>
      <c r="T77" s="112" t="s">
        <v>83</v>
      </c>
      <c r="U77" s="156" t="s">
        <v>107</v>
      </c>
    </row>
    <row r="78" spans="1:21" x14ac:dyDescent="0.25">
      <c r="A78" s="112">
        <v>139839</v>
      </c>
      <c r="B78" s="113">
        <v>45995</v>
      </c>
      <c r="C78" s="112" t="s">
        <v>118</v>
      </c>
      <c r="D78" s="112" t="s">
        <v>58</v>
      </c>
      <c r="E78" s="112" t="s">
        <v>207</v>
      </c>
      <c r="F78" s="112" t="s">
        <v>148</v>
      </c>
      <c r="G78" s="112" t="s">
        <v>253</v>
      </c>
      <c r="H78" s="112" t="s">
        <v>260</v>
      </c>
      <c r="I78" s="112">
        <v>375</v>
      </c>
      <c r="J78" s="112">
        <v>2915</v>
      </c>
      <c r="K78" s="112">
        <v>25</v>
      </c>
      <c r="L78" s="112">
        <v>94</v>
      </c>
      <c r="M78" s="112">
        <v>2796</v>
      </c>
      <c r="N78" s="115">
        <v>0.46</v>
      </c>
      <c r="O78" s="112">
        <f>Tbl_2025[[#This Row],[Ratio]]*Tbl_2025[[#This Row],[Wt. Befor ratio]]</f>
        <v>1286.1600000000001</v>
      </c>
      <c r="P78" s="112"/>
      <c r="Q78" s="112"/>
      <c r="R78" s="112"/>
      <c r="S78" s="112"/>
      <c r="T78" s="112" t="s">
        <v>81</v>
      </c>
      <c r="U78" s="156" t="s">
        <v>189</v>
      </c>
    </row>
    <row r="79" spans="1:21" x14ac:dyDescent="0.25">
      <c r="A79" s="112">
        <v>139847</v>
      </c>
      <c r="B79" s="113">
        <v>46000</v>
      </c>
      <c r="C79" s="112" t="s">
        <v>130</v>
      </c>
      <c r="D79" s="112" t="s">
        <v>32</v>
      </c>
      <c r="E79" s="112" t="s">
        <v>3</v>
      </c>
      <c r="F79" s="112" t="s">
        <v>99</v>
      </c>
      <c r="G79" s="112" t="s">
        <v>254</v>
      </c>
      <c r="H79" s="112" t="s">
        <v>260</v>
      </c>
      <c r="I79" s="112">
        <v>318</v>
      </c>
      <c r="J79" s="112">
        <v>5385</v>
      </c>
      <c r="K79" s="112">
        <v>50</v>
      </c>
      <c r="L79" s="112">
        <v>80</v>
      </c>
      <c r="M79" s="112">
        <v>5255</v>
      </c>
      <c r="N79" s="115">
        <v>0.58399999999999996</v>
      </c>
      <c r="O79" s="112">
        <f>Tbl_2025[[#This Row],[Ratio]]*Tbl_2025[[#This Row],[Wt. Befor ratio]]</f>
        <v>3068.9199999999996</v>
      </c>
      <c r="P79" s="112"/>
      <c r="Q79" s="112"/>
      <c r="R79" s="112"/>
      <c r="S79" s="112" t="s">
        <v>557</v>
      </c>
      <c r="T79" s="112" t="s">
        <v>158</v>
      </c>
      <c r="U79" s="160" t="s">
        <v>566</v>
      </c>
    </row>
    <row r="80" spans="1:21" x14ac:dyDescent="0.25">
      <c r="A80" s="112">
        <v>139848</v>
      </c>
      <c r="B80" s="113">
        <v>46000</v>
      </c>
      <c r="C80" s="112" t="s">
        <v>115</v>
      </c>
      <c r="D80" s="112" t="s">
        <v>58</v>
      </c>
      <c r="E80" s="112" t="s">
        <v>5</v>
      </c>
      <c r="F80" s="112" t="s">
        <v>171</v>
      </c>
      <c r="G80" s="112" t="s">
        <v>253</v>
      </c>
      <c r="H80" s="112" t="s">
        <v>260</v>
      </c>
      <c r="I80" s="112">
        <v>61</v>
      </c>
      <c r="J80" s="112">
        <v>620</v>
      </c>
      <c r="K80" s="112">
        <v>6</v>
      </c>
      <c r="L80" s="112"/>
      <c r="M80" s="112">
        <v>614</v>
      </c>
      <c r="N80" s="115">
        <v>0.63</v>
      </c>
      <c r="O80" s="112">
        <f>Tbl_2025[[#This Row],[Ratio]]*Tbl_2025[[#This Row],[Wt. Befor ratio]]</f>
        <v>386.82</v>
      </c>
      <c r="P80" s="112"/>
      <c r="Q80" s="112"/>
      <c r="R80" s="112"/>
      <c r="S80" s="112"/>
      <c r="T80" s="112" t="s">
        <v>190</v>
      </c>
      <c r="U80" s="156" t="s">
        <v>191</v>
      </c>
    </row>
    <row r="81" spans="1:21" x14ac:dyDescent="0.25">
      <c r="A81" s="112">
        <v>139849</v>
      </c>
      <c r="B81" s="113">
        <v>46000</v>
      </c>
      <c r="C81" s="112" t="s">
        <v>157</v>
      </c>
      <c r="D81" s="112" t="s">
        <v>58</v>
      </c>
      <c r="E81" s="112" t="s">
        <v>207</v>
      </c>
      <c r="F81" s="112" t="s">
        <v>148</v>
      </c>
      <c r="G81" s="112" t="s">
        <v>253</v>
      </c>
      <c r="H81" s="112" t="s">
        <v>260</v>
      </c>
      <c r="I81" s="112">
        <v>48</v>
      </c>
      <c r="J81" s="112">
        <v>510</v>
      </c>
      <c r="K81" s="112">
        <v>5</v>
      </c>
      <c r="L81" s="112">
        <v>12</v>
      </c>
      <c r="M81" s="112">
        <v>493</v>
      </c>
      <c r="N81" s="115">
        <v>0.71</v>
      </c>
      <c r="O81" s="112">
        <f>Tbl_2025[[#This Row],[Ratio]]*Tbl_2025[[#This Row],[Wt. Befor ratio]]</f>
        <v>350.03</v>
      </c>
      <c r="P81" s="112" t="s">
        <v>84</v>
      </c>
      <c r="Q81" s="112">
        <v>2929</v>
      </c>
      <c r="R81" s="112" t="s">
        <v>535</v>
      </c>
      <c r="S81" s="112">
        <v>17</v>
      </c>
      <c r="T81" s="112" t="s">
        <v>105</v>
      </c>
      <c r="U81" s="156" t="s">
        <v>191</v>
      </c>
    </row>
    <row r="82" spans="1:21" x14ac:dyDescent="0.25">
      <c r="A82" s="112">
        <v>139851</v>
      </c>
      <c r="B82" s="113">
        <v>46001</v>
      </c>
      <c r="C82" s="112" t="s">
        <v>192</v>
      </c>
      <c r="D82" s="112" t="s">
        <v>26</v>
      </c>
      <c r="E82" s="112" t="s">
        <v>3</v>
      </c>
      <c r="F82" s="112" t="s">
        <v>99</v>
      </c>
      <c r="G82" s="112" t="s">
        <v>252</v>
      </c>
      <c r="H82" s="112" t="s">
        <v>62</v>
      </c>
      <c r="I82" s="112">
        <v>317</v>
      </c>
      <c r="J82" s="112">
        <v>6050</v>
      </c>
      <c r="K82" s="112"/>
      <c r="L82" s="112">
        <v>317</v>
      </c>
      <c r="M82" s="112">
        <v>5733</v>
      </c>
      <c r="N82" s="115">
        <v>0.78</v>
      </c>
      <c r="O82" s="112">
        <f>Tbl_2025[[#This Row],[Ratio]]*Tbl_2025[[#This Row],[Wt. Befor ratio]]</f>
        <v>4471.74</v>
      </c>
      <c r="P82" s="112" t="s">
        <v>84</v>
      </c>
      <c r="Q82" s="112">
        <v>2904</v>
      </c>
      <c r="R82" s="113">
        <v>46023</v>
      </c>
      <c r="S82" s="112" t="s">
        <v>501</v>
      </c>
      <c r="T82" s="112" t="s">
        <v>332</v>
      </c>
      <c r="U82" s="156" t="s">
        <v>502</v>
      </c>
    </row>
    <row r="83" spans="1:21" x14ac:dyDescent="0.25">
      <c r="A83" s="112">
        <v>139853</v>
      </c>
      <c r="B83" s="113">
        <v>46002</v>
      </c>
      <c r="C83" s="112" t="s">
        <v>131</v>
      </c>
      <c r="D83" s="112" t="s">
        <v>32</v>
      </c>
      <c r="E83" s="112" t="s">
        <v>3</v>
      </c>
      <c r="F83" s="112" t="s">
        <v>99</v>
      </c>
      <c r="G83" s="112" t="s">
        <v>254</v>
      </c>
      <c r="H83" s="112" t="s">
        <v>260</v>
      </c>
      <c r="I83" s="112">
        <v>283</v>
      </c>
      <c r="J83" s="112">
        <v>5875</v>
      </c>
      <c r="K83" s="112">
        <v>50</v>
      </c>
      <c r="L83" s="112">
        <v>71</v>
      </c>
      <c r="M83" s="112">
        <v>5754</v>
      </c>
      <c r="N83" s="115">
        <v>0.57999999999999996</v>
      </c>
      <c r="O83" s="112">
        <f>Tbl_2025[[#This Row],[Ratio]]*Tbl_2025[[#This Row],[Wt. Befor ratio]]</f>
        <v>3337.3199999999997</v>
      </c>
      <c r="P83" s="112"/>
      <c r="Q83" s="112"/>
      <c r="R83" s="112"/>
      <c r="S83" s="112"/>
      <c r="T83" s="112" t="s">
        <v>124</v>
      </c>
      <c r="U83" s="156"/>
    </row>
    <row r="84" spans="1:21" x14ac:dyDescent="0.25">
      <c r="A84" s="112">
        <v>139859</v>
      </c>
      <c r="B84" s="113">
        <v>46004</v>
      </c>
      <c r="C84" s="112" t="s">
        <v>157</v>
      </c>
      <c r="D84" s="112" t="s">
        <v>45</v>
      </c>
      <c r="E84" s="112" t="s">
        <v>3</v>
      </c>
      <c r="F84" s="112" t="s">
        <v>99</v>
      </c>
      <c r="G84" s="112" t="s">
        <v>253</v>
      </c>
      <c r="H84" s="112" t="s">
        <v>260</v>
      </c>
      <c r="I84" s="112">
        <v>290</v>
      </c>
      <c r="J84" s="112">
        <v>5431</v>
      </c>
      <c r="K84" s="112">
        <v>50</v>
      </c>
      <c r="L84" s="112">
        <v>73</v>
      </c>
      <c r="M84" s="112">
        <v>5308</v>
      </c>
      <c r="N84" s="115">
        <v>0.56000000000000005</v>
      </c>
      <c r="O84" s="112">
        <f>Tbl_2025[[#This Row],[Ratio]]*Tbl_2025[[#This Row],[Wt. Befor ratio]]</f>
        <v>2972.4800000000005</v>
      </c>
      <c r="P84" s="112"/>
      <c r="Q84" s="112"/>
      <c r="R84" s="112"/>
      <c r="S84" s="112"/>
      <c r="T84" s="112" t="s">
        <v>83</v>
      </c>
      <c r="U84" s="156" t="s">
        <v>107</v>
      </c>
    </row>
    <row r="85" spans="1:21" x14ac:dyDescent="0.25">
      <c r="A85" s="112">
        <v>139860</v>
      </c>
      <c r="B85" s="113">
        <v>46004</v>
      </c>
      <c r="C85" s="112" t="s">
        <v>115</v>
      </c>
      <c r="D85" s="112" t="s">
        <v>45</v>
      </c>
      <c r="E85" s="112" t="s">
        <v>3</v>
      </c>
      <c r="F85" s="112" t="s">
        <v>99</v>
      </c>
      <c r="G85" s="112" t="s">
        <v>253</v>
      </c>
      <c r="H85" s="112" t="s">
        <v>260</v>
      </c>
      <c r="I85" s="112">
        <v>285</v>
      </c>
      <c r="J85" s="112">
        <v>6420</v>
      </c>
      <c r="K85" s="112">
        <v>50</v>
      </c>
      <c r="L85" s="112">
        <v>71</v>
      </c>
      <c r="M85" s="112">
        <v>6299</v>
      </c>
      <c r="N85" s="115">
        <v>0.52</v>
      </c>
      <c r="O85" s="112">
        <f>Tbl_2025[[#This Row],[Ratio]]*Tbl_2025[[#This Row],[Wt. Befor ratio]]</f>
        <v>3275.48</v>
      </c>
      <c r="P85" s="112"/>
      <c r="Q85" s="112"/>
      <c r="R85" s="112"/>
      <c r="S85" s="112"/>
      <c r="T85" s="112" t="s">
        <v>83</v>
      </c>
      <c r="U85" s="156" t="s">
        <v>107</v>
      </c>
    </row>
    <row r="86" spans="1:21" x14ac:dyDescent="0.25">
      <c r="A86" s="112">
        <v>139861</v>
      </c>
      <c r="B86" s="113">
        <v>46004</v>
      </c>
      <c r="C86" s="112" t="s">
        <v>143</v>
      </c>
      <c r="D86" s="112" t="s">
        <v>45</v>
      </c>
      <c r="E86" s="112" t="s">
        <v>3</v>
      </c>
      <c r="F86" s="112" t="s">
        <v>99</v>
      </c>
      <c r="G86" s="112" t="s">
        <v>253</v>
      </c>
      <c r="H86" s="112" t="s">
        <v>260</v>
      </c>
      <c r="I86" s="112">
        <v>295</v>
      </c>
      <c r="J86" s="112">
        <v>6446</v>
      </c>
      <c r="K86" s="112">
        <v>50</v>
      </c>
      <c r="L86" s="112">
        <v>74</v>
      </c>
      <c r="M86" s="112">
        <v>6322</v>
      </c>
      <c r="N86" s="115">
        <v>0.48</v>
      </c>
      <c r="O86" s="112">
        <f>Tbl_2025[[#This Row],[Ratio]]*Tbl_2025[[#This Row],[Wt. Befor ratio]]</f>
        <v>3034.56</v>
      </c>
      <c r="P86" s="112"/>
      <c r="Q86" s="112"/>
      <c r="R86" s="112"/>
      <c r="S86" s="112"/>
      <c r="T86" s="112" t="s">
        <v>83</v>
      </c>
      <c r="U86" s="156" t="s">
        <v>107</v>
      </c>
    </row>
    <row r="87" spans="1:21" x14ac:dyDescent="0.25">
      <c r="A87" s="112">
        <v>139862</v>
      </c>
      <c r="B87" s="113">
        <v>46004</v>
      </c>
      <c r="C87" s="112" t="s">
        <v>146</v>
      </c>
      <c r="D87" s="112" t="s">
        <v>45</v>
      </c>
      <c r="E87" s="112" t="s">
        <v>3</v>
      </c>
      <c r="F87" s="112" t="s">
        <v>99</v>
      </c>
      <c r="G87" s="112" t="s">
        <v>253</v>
      </c>
      <c r="H87" s="112" t="s">
        <v>260</v>
      </c>
      <c r="I87" s="112">
        <v>280</v>
      </c>
      <c r="J87" s="112">
        <v>5956</v>
      </c>
      <c r="K87" s="112">
        <v>50</v>
      </c>
      <c r="L87" s="112">
        <v>70</v>
      </c>
      <c r="M87" s="112">
        <v>5836</v>
      </c>
      <c r="N87" s="115">
        <v>0.53</v>
      </c>
      <c r="O87" s="112">
        <f>Tbl_2025[[#This Row],[Ratio]]*Tbl_2025[[#This Row],[Wt. Befor ratio]]</f>
        <v>3093.0800000000004</v>
      </c>
      <c r="P87" s="112"/>
      <c r="Q87" s="112"/>
      <c r="R87" s="112"/>
      <c r="S87" s="112"/>
      <c r="T87" s="112" t="s">
        <v>83</v>
      </c>
      <c r="U87" s="156" t="s">
        <v>107</v>
      </c>
    </row>
    <row r="88" spans="1:21" x14ac:dyDescent="0.25">
      <c r="A88" s="112">
        <v>139863</v>
      </c>
      <c r="B88" s="113">
        <v>46004</v>
      </c>
      <c r="C88" s="112" t="s">
        <v>144</v>
      </c>
      <c r="D88" s="112" t="s">
        <v>45</v>
      </c>
      <c r="E88" s="112" t="s">
        <v>3</v>
      </c>
      <c r="F88" s="112" t="s">
        <v>99</v>
      </c>
      <c r="G88" s="112" t="s">
        <v>253</v>
      </c>
      <c r="H88" s="112" t="s">
        <v>260</v>
      </c>
      <c r="I88" s="112">
        <v>286</v>
      </c>
      <c r="J88" s="112">
        <v>6060</v>
      </c>
      <c r="K88" s="112">
        <v>50</v>
      </c>
      <c r="L88" s="112">
        <v>72</v>
      </c>
      <c r="M88" s="112">
        <v>5938</v>
      </c>
      <c r="N88" s="115">
        <v>0.54</v>
      </c>
      <c r="O88" s="112">
        <f>Tbl_2025[[#This Row],[Ratio]]*Tbl_2025[[#This Row],[Wt. Befor ratio]]</f>
        <v>3206.5200000000004</v>
      </c>
      <c r="P88" s="112"/>
      <c r="Q88" s="112"/>
      <c r="R88" s="112"/>
      <c r="S88" s="112"/>
      <c r="T88" s="112" t="s">
        <v>83</v>
      </c>
      <c r="U88" s="156"/>
    </row>
    <row r="89" spans="1:21" x14ac:dyDescent="0.25">
      <c r="A89" s="112">
        <v>139865</v>
      </c>
      <c r="B89" s="113">
        <v>46005</v>
      </c>
      <c r="C89" s="112" t="s">
        <v>113</v>
      </c>
      <c r="D89" s="112" t="s">
        <v>40</v>
      </c>
      <c r="E89" s="112" t="s">
        <v>0</v>
      </c>
      <c r="F89" s="112" t="s">
        <v>167</v>
      </c>
      <c r="G89" s="112" t="s">
        <v>257</v>
      </c>
      <c r="H89" s="112" t="s">
        <v>260</v>
      </c>
      <c r="I89" s="112">
        <v>281</v>
      </c>
      <c r="J89" s="112">
        <v>4640</v>
      </c>
      <c r="K89" s="112">
        <v>50</v>
      </c>
      <c r="L89" s="112"/>
      <c r="M89" s="112">
        <v>4590</v>
      </c>
      <c r="N89" s="115">
        <v>0.65</v>
      </c>
      <c r="O89" s="112">
        <f>Tbl_2025[[#This Row],[Ratio]]*Tbl_2025[[#This Row],[Wt. Befor ratio]]</f>
        <v>2983.5</v>
      </c>
      <c r="P89" s="112"/>
      <c r="Q89" s="112"/>
      <c r="R89" s="112"/>
      <c r="S89" s="112"/>
      <c r="T89" s="112" t="s">
        <v>332</v>
      </c>
      <c r="U89" s="156"/>
    </row>
    <row r="90" spans="1:21" x14ac:dyDescent="0.25">
      <c r="A90" s="112">
        <v>139867</v>
      </c>
      <c r="B90" s="113">
        <v>46005</v>
      </c>
      <c r="C90" s="112" t="s">
        <v>118</v>
      </c>
      <c r="D90" s="112" t="s">
        <v>40</v>
      </c>
      <c r="E90" s="112" t="s">
        <v>0</v>
      </c>
      <c r="F90" s="112" t="s">
        <v>167</v>
      </c>
      <c r="G90" s="112" t="s">
        <v>257</v>
      </c>
      <c r="H90" s="112" t="s">
        <v>260</v>
      </c>
      <c r="I90" s="112">
        <v>267</v>
      </c>
      <c r="J90" s="112">
        <v>5215</v>
      </c>
      <c r="K90" s="112">
        <v>50</v>
      </c>
      <c r="L90" s="112"/>
      <c r="M90" s="112">
        <v>5165</v>
      </c>
      <c r="N90" s="115">
        <v>0.65</v>
      </c>
      <c r="O90" s="112">
        <f>Tbl_2025[[#This Row],[Ratio]]*Tbl_2025[[#This Row],[Wt. Befor ratio]]</f>
        <v>3357.25</v>
      </c>
      <c r="P90" s="112"/>
      <c r="Q90" s="112"/>
      <c r="R90" s="112"/>
      <c r="S90" s="112"/>
      <c r="T90" s="112" t="s">
        <v>332</v>
      </c>
      <c r="U90" s="156"/>
    </row>
    <row r="91" spans="1:21" x14ac:dyDescent="0.25">
      <c r="A91" s="112">
        <v>139868</v>
      </c>
      <c r="B91" s="113">
        <v>46006</v>
      </c>
      <c r="C91" s="112" t="s">
        <v>133</v>
      </c>
      <c r="D91" s="112" t="s">
        <v>32</v>
      </c>
      <c r="E91" s="112" t="s">
        <v>3</v>
      </c>
      <c r="F91" s="112" t="s">
        <v>99</v>
      </c>
      <c r="G91" s="112" t="s">
        <v>254</v>
      </c>
      <c r="H91" s="112" t="s">
        <v>260</v>
      </c>
      <c r="I91" s="112">
        <v>278</v>
      </c>
      <c r="J91" s="112">
        <v>6120</v>
      </c>
      <c r="K91" s="112">
        <v>50</v>
      </c>
      <c r="L91" s="112">
        <v>70</v>
      </c>
      <c r="M91" s="112">
        <v>6000</v>
      </c>
      <c r="N91" s="115">
        <v>0.54800000000000004</v>
      </c>
      <c r="O91" s="112">
        <f>Tbl_2025[[#This Row],[Ratio]]*Tbl_2025[[#This Row],[Wt. Befor ratio]]</f>
        <v>3288.0000000000005</v>
      </c>
      <c r="P91" s="112"/>
      <c r="Q91" s="112"/>
      <c r="R91" s="112"/>
      <c r="S91" s="112"/>
      <c r="T91" s="112" t="s">
        <v>124</v>
      </c>
      <c r="U91" s="156" t="s">
        <v>107</v>
      </c>
    </row>
    <row r="92" spans="1:21" x14ac:dyDescent="0.25">
      <c r="A92" s="112">
        <v>139870</v>
      </c>
      <c r="B92" s="113">
        <v>46007</v>
      </c>
      <c r="C92" s="112" t="s">
        <v>150</v>
      </c>
      <c r="D92" s="112" t="s">
        <v>45</v>
      </c>
      <c r="E92" s="112" t="s">
        <v>3</v>
      </c>
      <c r="F92" s="112" t="s">
        <v>99</v>
      </c>
      <c r="G92" s="112" t="s">
        <v>253</v>
      </c>
      <c r="H92" s="112" t="s">
        <v>260</v>
      </c>
      <c r="I92" s="112">
        <v>300</v>
      </c>
      <c r="J92" s="112">
        <v>5664</v>
      </c>
      <c r="K92" s="112">
        <v>50</v>
      </c>
      <c r="L92" s="112">
        <v>75</v>
      </c>
      <c r="M92" s="112">
        <v>5539</v>
      </c>
      <c r="N92" s="115">
        <v>0.53</v>
      </c>
      <c r="O92" s="112">
        <f>Tbl_2025[[#This Row],[Ratio]]*Tbl_2025[[#This Row],[Wt. Befor ratio]]</f>
        <v>2935.67</v>
      </c>
      <c r="P92" s="112"/>
      <c r="Q92" s="112"/>
      <c r="R92" s="112"/>
      <c r="S92" s="112"/>
      <c r="T92" s="112" t="s">
        <v>83</v>
      </c>
      <c r="U92" s="156" t="s">
        <v>107</v>
      </c>
    </row>
    <row r="93" spans="1:21" x14ac:dyDescent="0.25">
      <c r="A93" s="112">
        <v>139871</v>
      </c>
      <c r="B93" s="113">
        <v>46007</v>
      </c>
      <c r="C93" s="112" t="s">
        <v>156</v>
      </c>
      <c r="D93" s="112" t="s">
        <v>45</v>
      </c>
      <c r="E93" s="112" t="s">
        <v>3</v>
      </c>
      <c r="F93" s="112" t="s">
        <v>99</v>
      </c>
      <c r="G93" s="112" t="s">
        <v>253</v>
      </c>
      <c r="H93" s="112" t="s">
        <v>260</v>
      </c>
      <c r="I93" s="112">
        <v>282</v>
      </c>
      <c r="J93" s="112">
        <v>6029</v>
      </c>
      <c r="K93" s="112">
        <v>50</v>
      </c>
      <c r="L93" s="112">
        <v>71</v>
      </c>
      <c r="M93" s="112">
        <v>5908</v>
      </c>
      <c r="N93" s="115">
        <v>0.47</v>
      </c>
      <c r="O93" s="112">
        <f>Tbl_2025[[#This Row],[Ratio]]*Tbl_2025[[#This Row],[Wt. Befor ratio]]</f>
        <v>2776.7599999999998</v>
      </c>
      <c r="P93" s="112"/>
      <c r="Q93" s="112"/>
      <c r="R93" s="112"/>
      <c r="S93" s="112"/>
      <c r="T93" s="112" t="s">
        <v>83</v>
      </c>
      <c r="U93" s="156" t="s">
        <v>107</v>
      </c>
    </row>
    <row r="94" spans="1:21" x14ac:dyDescent="0.25">
      <c r="A94" s="112">
        <v>139872</v>
      </c>
      <c r="B94" s="113">
        <v>46007</v>
      </c>
      <c r="C94" s="112" t="s">
        <v>435</v>
      </c>
      <c r="D94" s="112" t="s">
        <v>45</v>
      </c>
      <c r="E94" s="112" t="s">
        <v>3</v>
      </c>
      <c r="F94" s="112" t="s">
        <v>99</v>
      </c>
      <c r="G94" s="112" t="s">
        <v>253</v>
      </c>
      <c r="H94" s="112" t="s">
        <v>260</v>
      </c>
      <c r="I94" s="112">
        <v>251</v>
      </c>
      <c r="J94" s="112">
        <v>7064</v>
      </c>
      <c r="K94" s="112">
        <v>50</v>
      </c>
      <c r="L94" s="112">
        <v>63</v>
      </c>
      <c r="M94" s="112">
        <v>6951</v>
      </c>
      <c r="N94" s="115">
        <v>0.56999999999999995</v>
      </c>
      <c r="O94" s="112">
        <f>Tbl_2025[[#This Row],[Ratio]]*Tbl_2025[[#This Row],[Wt. Befor ratio]]</f>
        <v>3962.0699999999997</v>
      </c>
      <c r="P94" s="112"/>
      <c r="Q94" s="112"/>
      <c r="R94" s="112"/>
      <c r="S94" s="112"/>
      <c r="T94" s="112" t="s">
        <v>83</v>
      </c>
      <c r="U94" s="156" t="s">
        <v>107</v>
      </c>
    </row>
    <row r="95" spans="1:21" x14ac:dyDescent="0.25">
      <c r="A95" s="112">
        <v>139873</v>
      </c>
      <c r="B95" s="113">
        <v>46007</v>
      </c>
      <c r="C95" s="112" t="s">
        <v>436</v>
      </c>
      <c r="D95" s="112" t="s">
        <v>45</v>
      </c>
      <c r="E95" s="112" t="s">
        <v>3</v>
      </c>
      <c r="F95" s="112" t="s">
        <v>99</v>
      </c>
      <c r="G95" s="112" t="s">
        <v>253</v>
      </c>
      <c r="H95" s="112" t="s">
        <v>260</v>
      </c>
      <c r="I95" s="112">
        <v>280</v>
      </c>
      <c r="J95" s="112">
        <v>6042</v>
      </c>
      <c r="K95" s="112">
        <v>50</v>
      </c>
      <c r="L95" s="112">
        <v>70</v>
      </c>
      <c r="M95" s="112">
        <v>5922</v>
      </c>
      <c r="N95" s="115">
        <v>0.53</v>
      </c>
      <c r="O95" s="112">
        <f>Tbl_2025[[#This Row],[Ratio]]*Tbl_2025[[#This Row],[Wt. Befor ratio]]</f>
        <v>3138.6600000000003</v>
      </c>
      <c r="P95" s="112"/>
      <c r="Q95" s="112"/>
      <c r="R95" s="112"/>
      <c r="S95" s="112"/>
      <c r="T95" s="112" t="s">
        <v>83</v>
      </c>
      <c r="U95" s="156" t="s">
        <v>107</v>
      </c>
    </row>
    <row r="96" spans="1:21" x14ac:dyDescent="0.25">
      <c r="A96" s="112">
        <v>139874</v>
      </c>
      <c r="B96" s="113">
        <v>46007</v>
      </c>
      <c r="C96" s="112" t="s">
        <v>437</v>
      </c>
      <c r="D96" s="112" t="s">
        <v>45</v>
      </c>
      <c r="E96" s="112" t="s">
        <v>3</v>
      </c>
      <c r="F96" s="112" t="s">
        <v>99</v>
      </c>
      <c r="G96" s="112" t="s">
        <v>253</v>
      </c>
      <c r="H96" s="112" t="s">
        <v>260</v>
      </c>
      <c r="I96" s="112">
        <v>275</v>
      </c>
      <c r="J96" s="112">
        <v>5792</v>
      </c>
      <c r="K96" s="112">
        <v>50</v>
      </c>
      <c r="L96" s="112">
        <v>69</v>
      </c>
      <c r="M96" s="112">
        <v>5673</v>
      </c>
      <c r="N96" s="115">
        <v>0.5</v>
      </c>
      <c r="O96" s="112">
        <f>Tbl_2025[[#This Row],[Ratio]]*Tbl_2025[[#This Row],[Wt. Befor ratio]]</f>
        <v>2836.5</v>
      </c>
      <c r="P96" s="112"/>
      <c r="Q96" s="112"/>
      <c r="R96" s="112"/>
      <c r="S96" s="112"/>
      <c r="T96" s="112" t="s">
        <v>83</v>
      </c>
      <c r="U96" s="156" t="s">
        <v>107</v>
      </c>
    </row>
    <row r="97" spans="1:21" x14ac:dyDescent="0.25">
      <c r="A97" s="112">
        <v>139877</v>
      </c>
      <c r="B97" s="113">
        <v>46008</v>
      </c>
      <c r="C97" s="112" t="s">
        <v>438</v>
      </c>
      <c r="D97" s="112" t="s">
        <v>58</v>
      </c>
      <c r="E97" s="112" t="s">
        <v>219</v>
      </c>
      <c r="F97" s="112" t="s">
        <v>159</v>
      </c>
      <c r="G97" s="112" t="s">
        <v>255</v>
      </c>
      <c r="H97" s="112" t="s">
        <v>260</v>
      </c>
      <c r="I97" s="112">
        <v>65</v>
      </c>
      <c r="J97" s="112">
        <v>1170</v>
      </c>
      <c r="K97" s="112">
        <v>12</v>
      </c>
      <c r="L97" s="112">
        <v>16</v>
      </c>
      <c r="M97" s="112">
        <v>1142</v>
      </c>
      <c r="N97" s="115">
        <v>0.55000000000000004</v>
      </c>
      <c r="O97" s="112">
        <f>Tbl_2025[[#This Row],[Ratio]]*Tbl_2025[[#This Row],[Wt. Befor ratio]]</f>
        <v>628.1</v>
      </c>
      <c r="P97" s="112" t="s">
        <v>84</v>
      </c>
      <c r="Q97" s="112">
        <v>2927</v>
      </c>
      <c r="R97" s="113">
        <v>46043</v>
      </c>
      <c r="S97" s="112">
        <v>15</v>
      </c>
      <c r="T97" s="112" t="s">
        <v>81</v>
      </c>
      <c r="U97" s="156" t="s">
        <v>440</v>
      </c>
    </row>
    <row r="98" spans="1:21" x14ac:dyDescent="0.25">
      <c r="A98" s="112">
        <v>139880</v>
      </c>
      <c r="B98" s="113">
        <v>46009</v>
      </c>
      <c r="C98" s="112" t="s">
        <v>115</v>
      </c>
      <c r="D98" s="112" t="s">
        <v>40</v>
      </c>
      <c r="E98" s="116" t="s">
        <v>0</v>
      </c>
      <c r="F98" s="112" t="s">
        <v>167</v>
      </c>
      <c r="G98" s="112" t="s">
        <v>257</v>
      </c>
      <c r="H98" s="112" t="s">
        <v>260</v>
      </c>
      <c r="I98" s="112">
        <v>256</v>
      </c>
      <c r="J98" s="112">
        <v>5135</v>
      </c>
      <c r="K98" s="112">
        <v>50</v>
      </c>
      <c r="L98" s="112"/>
      <c r="M98" s="112">
        <v>5085</v>
      </c>
      <c r="N98" s="115">
        <v>0.64</v>
      </c>
      <c r="O98" s="112">
        <f>Tbl_2025[[#This Row],[Ratio]]*Tbl_2025[[#This Row],[Wt. Befor ratio]]</f>
        <v>3254.4</v>
      </c>
      <c r="P98" s="112"/>
      <c r="Q98" s="112"/>
      <c r="R98" s="112"/>
      <c r="S98" s="112"/>
      <c r="T98" s="112" t="s">
        <v>332</v>
      </c>
      <c r="U98" s="156"/>
    </row>
    <row r="99" spans="1:21" x14ac:dyDescent="0.25">
      <c r="A99" s="112">
        <v>139881</v>
      </c>
      <c r="B99" s="113">
        <v>46009</v>
      </c>
      <c r="C99" s="112" t="s">
        <v>143</v>
      </c>
      <c r="D99" s="112" t="s">
        <v>40</v>
      </c>
      <c r="E99" s="112" t="s">
        <v>0</v>
      </c>
      <c r="F99" s="112" t="s">
        <v>167</v>
      </c>
      <c r="G99" s="112" t="s">
        <v>257</v>
      </c>
      <c r="H99" s="112" t="s">
        <v>260</v>
      </c>
      <c r="I99" s="112">
        <v>263</v>
      </c>
      <c r="J99" s="112">
        <v>5345</v>
      </c>
      <c r="K99" s="112">
        <v>50</v>
      </c>
      <c r="L99" s="112"/>
      <c r="M99" s="112">
        <v>5295</v>
      </c>
      <c r="N99" s="115">
        <v>0.64</v>
      </c>
      <c r="O99" s="112">
        <f>Tbl_2025[[#This Row],[Ratio]]*Tbl_2025[[#This Row],[Wt. Befor ratio]]</f>
        <v>3388.8</v>
      </c>
      <c r="P99" s="112"/>
      <c r="Q99" s="112"/>
      <c r="R99" s="112"/>
      <c r="S99" s="112"/>
      <c r="T99" s="112" t="s">
        <v>332</v>
      </c>
      <c r="U99" s="156"/>
    </row>
    <row r="100" spans="1:21" x14ac:dyDescent="0.25">
      <c r="A100" s="112">
        <v>139884</v>
      </c>
      <c r="B100" s="113">
        <v>46009</v>
      </c>
      <c r="C100" s="112" t="s">
        <v>439</v>
      </c>
      <c r="D100" s="112" t="s">
        <v>26</v>
      </c>
      <c r="E100" s="112" t="s">
        <v>3</v>
      </c>
      <c r="F100" s="112" t="s">
        <v>99</v>
      </c>
      <c r="G100" s="112" t="s">
        <v>252</v>
      </c>
      <c r="H100" s="112" t="s">
        <v>260</v>
      </c>
      <c r="I100" s="112">
        <v>265</v>
      </c>
      <c r="J100" s="112">
        <v>4955</v>
      </c>
      <c r="K100" s="112"/>
      <c r="L100" s="112">
        <v>265</v>
      </c>
      <c r="M100" s="112">
        <v>4690</v>
      </c>
      <c r="N100" s="115">
        <v>0.8</v>
      </c>
      <c r="O100" s="112">
        <f>Tbl_2025[[#This Row],[Ratio]]*Tbl_2025[[#This Row],[Wt. Befor ratio]]</f>
        <v>3752</v>
      </c>
      <c r="P100" s="112" t="s">
        <v>84</v>
      </c>
      <c r="Q100" s="112">
        <v>2906</v>
      </c>
      <c r="R100" s="113">
        <v>46023</v>
      </c>
      <c r="S100" s="112">
        <v>1</v>
      </c>
      <c r="T100" s="112" t="s">
        <v>124</v>
      </c>
      <c r="U100" s="156"/>
    </row>
    <row r="101" spans="1:21" x14ac:dyDescent="0.25">
      <c r="A101" s="112">
        <v>139885</v>
      </c>
      <c r="B101" s="113">
        <v>46013</v>
      </c>
      <c r="C101" s="112" t="s">
        <v>143</v>
      </c>
      <c r="D101" s="112" t="s">
        <v>43</v>
      </c>
      <c r="E101" s="112" t="s">
        <v>209</v>
      </c>
      <c r="F101" s="112" t="s">
        <v>193</v>
      </c>
      <c r="G101" s="112" t="s">
        <v>252</v>
      </c>
      <c r="H101" s="112" t="s">
        <v>260</v>
      </c>
      <c r="I101" s="112">
        <v>261</v>
      </c>
      <c r="J101" s="112">
        <v>6853</v>
      </c>
      <c r="K101" s="112">
        <v>69</v>
      </c>
      <c r="L101" s="112"/>
      <c r="M101" s="112">
        <v>6784</v>
      </c>
      <c r="N101" s="115">
        <v>0.37</v>
      </c>
      <c r="O101" s="112">
        <f>Tbl_2025[[#This Row],[Ratio]]*Tbl_2025[[#This Row],[Wt. Befor ratio]]</f>
        <v>2510.08</v>
      </c>
      <c r="P101" s="112" t="s">
        <v>84</v>
      </c>
      <c r="Q101" s="112">
        <v>2940</v>
      </c>
      <c r="R101" s="113">
        <v>46114</v>
      </c>
      <c r="S101" s="112">
        <v>19</v>
      </c>
      <c r="T101" s="112" t="s">
        <v>105</v>
      </c>
      <c r="U101" s="156" t="s">
        <v>441</v>
      </c>
    </row>
    <row r="102" spans="1:21" x14ac:dyDescent="0.25">
      <c r="A102" s="112">
        <v>139886</v>
      </c>
      <c r="B102" s="113">
        <v>46013</v>
      </c>
      <c r="C102" s="112" t="s">
        <v>146</v>
      </c>
      <c r="D102" s="112" t="s">
        <v>43</v>
      </c>
      <c r="E102" s="112" t="s">
        <v>209</v>
      </c>
      <c r="F102" s="112" t="s">
        <v>193</v>
      </c>
      <c r="G102" s="112" t="s">
        <v>252</v>
      </c>
      <c r="H102" s="112" t="s">
        <v>260</v>
      </c>
      <c r="I102" s="112">
        <v>285</v>
      </c>
      <c r="J102" s="112">
        <v>7255</v>
      </c>
      <c r="K102" s="112">
        <v>73</v>
      </c>
      <c r="L102" s="112"/>
      <c r="M102" s="112">
        <v>7182</v>
      </c>
      <c r="N102" s="115">
        <v>0.38</v>
      </c>
      <c r="O102" s="112">
        <f>Tbl_2025[[#This Row],[Ratio]]*Tbl_2025[[#This Row],[Wt. Befor ratio]]</f>
        <v>2729.16</v>
      </c>
      <c r="P102" s="112" t="s">
        <v>84</v>
      </c>
      <c r="Q102" s="112">
        <v>2940</v>
      </c>
      <c r="R102" s="113">
        <v>46114</v>
      </c>
      <c r="S102" s="112">
        <v>19</v>
      </c>
      <c r="T102" s="112" t="s">
        <v>105</v>
      </c>
      <c r="U102" s="156" t="s">
        <v>441</v>
      </c>
    </row>
    <row r="103" spans="1:21" x14ac:dyDescent="0.25">
      <c r="A103" s="112">
        <v>139888</v>
      </c>
      <c r="B103" s="113">
        <v>46014</v>
      </c>
      <c r="C103" s="112" t="s">
        <v>146</v>
      </c>
      <c r="D103" s="112" t="s">
        <v>40</v>
      </c>
      <c r="E103" s="112" t="s">
        <v>0</v>
      </c>
      <c r="F103" s="112" t="s">
        <v>167</v>
      </c>
      <c r="G103" s="112" t="s">
        <v>253</v>
      </c>
      <c r="H103" s="112" t="s">
        <v>260</v>
      </c>
      <c r="I103" s="112">
        <v>250</v>
      </c>
      <c r="J103" s="112">
        <v>4698</v>
      </c>
      <c r="K103" s="112">
        <v>50</v>
      </c>
      <c r="L103" s="112"/>
      <c r="M103" s="112">
        <v>4648</v>
      </c>
      <c r="N103" s="115">
        <v>0.69</v>
      </c>
      <c r="O103" s="112">
        <f>Tbl_2025[[#This Row],[Ratio]]*Tbl_2025[[#This Row],[Wt. Befor ratio]]</f>
        <v>3207.12</v>
      </c>
      <c r="P103" s="112"/>
      <c r="Q103" s="112"/>
      <c r="R103" s="112"/>
      <c r="S103" s="112"/>
      <c r="T103" s="112" t="s">
        <v>83</v>
      </c>
      <c r="U103" s="156"/>
    </row>
    <row r="104" spans="1:21" x14ac:dyDescent="0.25">
      <c r="A104" s="112">
        <v>139890</v>
      </c>
      <c r="B104" s="113">
        <v>46015</v>
      </c>
      <c r="C104" s="112" t="s">
        <v>143</v>
      </c>
      <c r="D104" s="112" t="s">
        <v>95</v>
      </c>
      <c r="E104" s="112" t="s">
        <v>4</v>
      </c>
      <c r="F104" s="112" t="s">
        <v>153</v>
      </c>
      <c r="G104" s="112" t="s">
        <v>252</v>
      </c>
      <c r="H104" s="112" t="s">
        <v>260</v>
      </c>
      <c r="I104" s="112">
        <v>200</v>
      </c>
      <c r="J104" s="112">
        <v>7405</v>
      </c>
      <c r="K104" s="112">
        <v>74</v>
      </c>
      <c r="L104" s="112"/>
      <c r="M104" s="112">
        <v>7331</v>
      </c>
      <c r="N104" s="115">
        <v>0.64</v>
      </c>
      <c r="O104" s="112">
        <f>Tbl_2025[[#This Row],[Ratio]]*Tbl_2025[[#This Row],[Wt. Befor ratio]]</f>
        <v>4691.84</v>
      </c>
      <c r="P104" s="112" t="s">
        <v>84</v>
      </c>
      <c r="Q104" s="112">
        <v>2916</v>
      </c>
      <c r="R104" s="113">
        <v>46034</v>
      </c>
      <c r="S104" s="112">
        <v>7</v>
      </c>
      <c r="T104" s="112" t="s">
        <v>124</v>
      </c>
      <c r="U104" s="156" t="s">
        <v>516</v>
      </c>
    </row>
    <row r="105" spans="1:21" x14ac:dyDescent="0.25">
      <c r="A105" s="112">
        <v>139891</v>
      </c>
      <c r="B105" s="113">
        <v>46015</v>
      </c>
      <c r="C105" s="112" t="s">
        <v>146</v>
      </c>
      <c r="D105" s="112" t="s">
        <v>95</v>
      </c>
      <c r="E105" s="112" t="s">
        <v>4</v>
      </c>
      <c r="F105" s="112" t="s">
        <v>153</v>
      </c>
      <c r="G105" s="112" t="s">
        <v>252</v>
      </c>
      <c r="H105" s="112" t="s">
        <v>260</v>
      </c>
      <c r="I105" s="112">
        <v>300</v>
      </c>
      <c r="J105" s="112">
        <v>10460</v>
      </c>
      <c r="K105" s="112">
        <v>105</v>
      </c>
      <c r="L105" s="112"/>
      <c r="M105" s="112">
        <v>10355</v>
      </c>
      <c r="N105" s="115">
        <v>0.63500000000000001</v>
      </c>
      <c r="O105" s="112">
        <f>Tbl_2025[[#This Row],[Ratio]]*Tbl_2025[[#This Row],[Wt. Befor ratio]]</f>
        <v>6575.4250000000002</v>
      </c>
      <c r="P105" s="112" t="s">
        <v>84</v>
      </c>
      <c r="Q105" s="112">
        <v>2916</v>
      </c>
      <c r="R105" s="113">
        <v>46034</v>
      </c>
      <c r="S105" s="112">
        <v>7</v>
      </c>
      <c r="T105" s="112" t="s">
        <v>176</v>
      </c>
      <c r="U105" s="156" t="s">
        <v>516</v>
      </c>
    </row>
    <row r="106" spans="1:21" x14ac:dyDescent="0.25">
      <c r="A106" s="112">
        <v>139892</v>
      </c>
      <c r="B106" s="113">
        <v>46015</v>
      </c>
      <c r="C106" s="112" t="s">
        <v>144</v>
      </c>
      <c r="D106" s="112" t="s">
        <v>95</v>
      </c>
      <c r="E106" s="112" t="s">
        <v>4</v>
      </c>
      <c r="F106" s="112" t="s">
        <v>153</v>
      </c>
      <c r="G106" s="112" t="s">
        <v>252</v>
      </c>
      <c r="H106" s="112" t="s">
        <v>260</v>
      </c>
      <c r="I106" s="112">
        <v>227</v>
      </c>
      <c r="J106" s="112">
        <v>6645</v>
      </c>
      <c r="K106" s="112">
        <v>66</v>
      </c>
      <c r="L106" s="112"/>
      <c r="M106" s="112">
        <v>6579</v>
      </c>
      <c r="N106" s="115">
        <v>0.56999999999999995</v>
      </c>
      <c r="O106" s="112">
        <f>Tbl_2025[[#This Row],[Ratio]]*Tbl_2025[[#This Row],[Wt. Befor ratio]]</f>
        <v>3750.0299999999997</v>
      </c>
      <c r="P106" s="112" t="s">
        <v>84</v>
      </c>
      <c r="Q106" s="112">
        <v>2919</v>
      </c>
      <c r="R106" s="113">
        <v>46038</v>
      </c>
      <c r="S106" s="112">
        <v>7</v>
      </c>
      <c r="T106" s="112" t="s">
        <v>124</v>
      </c>
      <c r="U106" s="156" t="s">
        <v>516</v>
      </c>
    </row>
    <row r="107" spans="1:21" x14ac:dyDescent="0.25">
      <c r="A107" s="112">
        <v>139894</v>
      </c>
      <c r="B107" s="113">
        <v>46016</v>
      </c>
      <c r="C107" s="112" t="s">
        <v>118</v>
      </c>
      <c r="D107" s="112" t="s">
        <v>45</v>
      </c>
      <c r="E107" s="112" t="s">
        <v>204</v>
      </c>
      <c r="F107" s="112" t="s">
        <v>175</v>
      </c>
      <c r="G107" s="112" t="s">
        <v>257</v>
      </c>
      <c r="H107" s="112" t="s">
        <v>260</v>
      </c>
      <c r="I107" s="112">
        <v>115</v>
      </c>
      <c r="J107" s="112">
        <v>8050</v>
      </c>
      <c r="K107" s="112">
        <v>50</v>
      </c>
      <c r="L107" s="112">
        <v>29</v>
      </c>
      <c r="M107" s="112">
        <v>7971</v>
      </c>
      <c r="N107" s="115">
        <v>0.83</v>
      </c>
      <c r="O107" s="112">
        <f>Tbl_2025[[#This Row],[Ratio]]*Tbl_2025[[#This Row],[Wt. Befor ratio]]</f>
        <v>6615.9299999999994</v>
      </c>
      <c r="P107" s="112" t="s">
        <v>84</v>
      </c>
      <c r="Q107" s="112">
        <v>2921</v>
      </c>
      <c r="R107" s="113">
        <v>46041</v>
      </c>
      <c r="S107" s="112">
        <v>11</v>
      </c>
      <c r="T107" s="112" t="s">
        <v>176</v>
      </c>
      <c r="U107" s="156"/>
    </row>
    <row r="108" spans="1:21" x14ac:dyDescent="0.25">
      <c r="A108" s="112">
        <v>139895</v>
      </c>
      <c r="B108" s="113">
        <v>46016</v>
      </c>
      <c r="C108" s="112" t="s">
        <v>144</v>
      </c>
      <c r="D108" s="112" t="s">
        <v>40</v>
      </c>
      <c r="E108" s="112" t="s">
        <v>0</v>
      </c>
      <c r="F108" s="112" t="s">
        <v>167</v>
      </c>
      <c r="G108" s="112" t="s">
        <v>253</v>
      </c>
      <c r="H108" s="112" t="s">
        <v>260</v>
      </c>
      <c r="I108" s="112">
        <v>280</v>
      </c>
      <c r="J108" s="112">
        <v>5584</v>
      </c>
      <c r="K108" s="112">
        <v>50</v>
      </c>
      <c r="L108" s="112"/>
      <c r="M108" s="112">
        <v>5534</v>
      </c>
      <c r="N108" s="115">
        <v>0.65</v>
      </c>
      <c r="O108" s="112">
        <f>Tbl_2025[[#This Row],[Ratio]]*Tbl_2025[[#This Row],[Wt. Befor ratio]]</f>
        <v>3597.1</v>
      </c>
      <c r="P108" s="112"/>
      <c r="Q108" s="112"/>
      <c r="R108" s="112"/>
      <c r="S108" s="112"/>
      <c r="T108" s="112" t="s">
        <v>83</v>
      </c>
      <c r="U108" s="156"/>
    </row>
    <row r="109" spans="1:21" x14ac:dyDescent="0.25">
      <c r="A109" s="112">
        <v>139896</v>
      </c>
      <c r="B109" s="113">
        <v>46019</v>
      </c>
      <c r="C109" s="112" t="s">
        <v>168</v>
      </c>
      <c r="D109" s="112" t="s">
        <v>95</v>
      </c>
      <c r="E109" s="112" t="s">
        <v>0</v>
      </c>
      <c r="F109" s="112" t="s">
        <v>167</v>
      </c>
      <c r="G109" s="112" t="s">
        <v>253</v>
      </c>
      <c r="H109" s="112" t="s">
        <v>260</v>
      </c>
      <c r="I109" s="112">
        <v>522</v>
      </c>
      <c r="J109" s="112">
        <v>10768</v>
      </c>
      <c r="K109" s="112">
        <v>100</v>
      </c>
      <c r="L109" s="112"/>
      <c r="M109" s="112">
        <v>10668</v>
      </c>
      <c r="N109" s="115">
        <v>0.67</v>
      </c>
      <c r="O109" s="112">
        <f>Tbl_2025[[#This Row],[Ratio]]*Tbl_2025[[#This Row],[Wt. Befor ratio]]</f>
        <v>7147.56</v>
      </c>
      <c r="P109" s="112"/>
      <c r="Q109" s="112"/>
      <c r="R109" s="112"/>
      <c r="S109" s="112"/>
      <c r="T109" s="112" t="s">
        <v>83</v>
      </c>
      <c r="U109" s="156"/>
    </row>
    <row r="110" spans="1:21" x14ac:dyDescent="0.25">
      <c r="A110" s="112">
        <v>139897</v>
      </c>
      <c r="B110" s="113">
        <v>46019</v>
      </c>
      <c r="C110" s="112" t="s">
        <v>127</v>
      </c>
      <c r="D110" s="112" t="s">
        <v>95</v>
      </c>
      <c r="E110" s="112" t="s">
        <v>0</v>
      </c>
      <c r="F110" s="112" t="s">
        <v>167</v>
      </c>
      <c r="G110" s="112" t="s">
        <v>253</v>
      </c>
      <c r="H110" s="112" t="s">
        <v>260</v>
      </c>
      <c r="I110" s="112">
        <v>235</v>
      </c>
      <c r="J110" s="112">
        <v>5235</v>
      </c>
      <c r="K110" s="112">
        <v>50</v>
      </c>
      <c r="L110" s="112"/>
      <c r="M110" s="112">
        <v>5185</v>
      </c>
      <c r="N110" s="115">
        <v>0.68</v>
      </c>
      <c r="O110" s="112">
        <f>Tbl_2025[[#This Row],[Ratio]]*Tbl_2025[[#This Row],[Wt. Befor ratio]]</f>
        <v>3525.8</v>
      </c>
      <c r="P110" s="112"/>
      <c r="Q110" s="112"/>
      <c r="R110" s="112"/>
      <c r="S110" s="112"/>
      <c r="T110" s="112" t="s">
        <v>83</v>
      </c>
      <c r="U110" s="156"/>
    </row>
    <row r="111" spans="1:21" x14ac:dyDescent="0.25">
      <c r="A111" s="112">
        <v>139898</v>
      </c>
      <c r="B111" s="113">
        <v>46019</v>
      </c>
      <c r="C111" s="112" t="s">
        <v>128</v>
      </c>
      <c r="D111" s="112" t="s">
        <v>95</v>
      </c>
      <c r="E111" s="112" t="s">
        <v>0</v>
      </c>
      <c r="F111" s="112" t="s">
        <v>167</v>
      </c>
      <c r="G111" s="112" t="s">
        <v>253</v>
      </c>
      <c r="H111" s="112" t="s">
        <v>260</v>
      </c>
      <c r="I111" s="112">
        <v>505</v>
      </c>
      <c r="J111" s="112">
        <v>9994</v>
      </c>
      <c r="K111" s="112">
        <v>100</v>
      </c>
      <c r="L111" s="112"/>
      <c r="M111" s="112">
        <v>9894</v>
      </c>
      <c r="N111" s="115">
        <v>0.69</v>
      </c>
      <c r="O111" s="112">
        <f>Tbl_2025[[#This Row],[Ratio]]*Tbl_2025[[#This Row],[Wt. Befor ratio]]</f>
        <v>6826.86</v>
      </c>
      <c r="P111" s="112"/>
      <c r="Q111" s="112"/>
      <c r="R111" s="113"/>
      <c r="S111" s="112"/>
      <c r="T111" s="112" t="s">
        <v>83</v>
      </c>
      <c r="U111" s="156"/>
    </row>
    <row r="112" spans="1:21" x14ac:dyDescent="0.25">
      <c r="A112" s="112">
        <v>139899</v>
      </c>
      <c r="B112" s="113">
        <v>46019</v>
      </c>
      <c r="C112" s="112" t="s">
        <v>111</v>
      </c>
      <c r="D112" s="112" t="s">
        <v>27</v>
      </c>
      <c r="E112" s="112" t="s">
        <v>0</v>
      </c>
      <c r="F112" s="112" t="s">
        <v>167</v>
      </c>
      <c r="G112" s="112" t="s">
        <v>257</v>
      </c>
      <c r="H112" s="112" t="s">
        <v>260</v>
      </c>
      <c r="I112" s="112">
        <v>230</v>
      </c>
      <c r="J112" s="112">
        <v>5486</v>
      </c>
      <c r="K112" s="112">
        <v>50</v>
      </c>
      <c r="L112" s="112"/>
      <c r="M112" s="112">
        <v>5436</v>
      </c>
      <c r="N112" s="115">
        <v>0.65</v>
      </c>
      <c r="O112" s="112">
        <f>Tbl_2025[[#This Row],[Ratio]]*Tbl_2025[[#This Row],[Wt. Befor ratio]]</f>
        <v>3533.4</v>
      </c>
      <c r="P112" s="112" t="s">
        <v>84</v>
      </c>
      <c r="Q112" s="112">
        <v>2926</v>
      </c>
      <c r="R112" s="113">
        <v>46043</v>
      </c>
      <c r="S112" s="112">
        <v>4</v>
      </c>
      <c r="T112" s="112" t="s">
        <v>83</v>
      </c>
      <c r="U112" s="156"/>
    </row>
  </sheetData>
  <phoneticPr fontId="4" type="noConversion"/>
  <conditionalFormatting sqref="A1:U1 A2:T4 A5:D6 F5:G6 H5:T7 E6 A7:G15 P8:T11 H8:N15 O8:O112 P12:U15 P16:T16 A16:N83 P17:U52 P53:T58 P59:U73 P74:T74 P75:U98 A84:G97 I84:N98 H84:H112 A98:F98 G98:G99 P100:R100">
    <cfRule type="expression" dxfId="13" priority="3">
      <formula>$P1="Canceled"</formula>
    </cfRule>
  </conditionalFormatting>
  <conditionalFormatting sqref="A1:U1 A2:T11 A12:U15 A16:T16 A17:U52 A53:T58 A59:U73 A74:T74 A75:U112">
    <cfRule type="expression" dxfId="12" priority="1">
      <formula>$P1="Rejected"</formula>
    </cfRule>
    <cfRule type="expression" dxfId="11" priority="4">
      <formula>$P1="Released"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DD9962FD-4B6B-4F6F-A0DB-BE1CF948C937}">
          <x14:formula1>
            <xm:f>List!$C$2:$C$37</xm:f>
          </x14:formula1>
          <xm:sqref>D113:D1048576</xm:sqref>
        </x14:dataValidation>
        <x14:dataValidation type="list" allowBlank="1" showInputMessage="1" showErrorMessage="1" xr:uid="{7B6A0B17-BFE5-4076-AAAF-8ED06C23CB83}">
          <x14:formula1>
            <xm:f>List!$I$3</xm:f>
          </x14:formula1>
          <xm:sqref>P113:P1048576</xm:sqref>
        </x14:dataValidation>
        <x14:dataValidation type="list" allowBlank="1" showInputMessage="1" showErrorMessage="1" xr:uid="{A6F35E5A-F1F4-4155-8528-8D7E272C12AE}">
          <x14:formula1>
            <xm:f>List!$I$2:$I$5</xm:f>
          </x14:formula1>
          <xm:sqref>P2:P112</xm:sqref>
        </x14:dataValidation>
        <x14:dataValidation type="list" allowBlank="1" showInputMessage="1" showErrorMessage="1" xr:uid="{0FC2BA6F-0D48-45CB-9FF8-14A351A23CEB}">
          <x14:formula1>
            <xm:f>List!$C:$C</xm:f>
          </x14:formula1>
          <xm:sqref>D2:D112</xm:sqref>
        </x14:dataValidation>
        <x14:dataValidation type="list" allowBlank="1" showInputMessage="1" showErrorMessage="1" xr:uid="{7D4F335B-F504-4A17-A6CB-7ACF64DE6A54}">
          <x14:formula1>
            <xm:f>List!$G$2:$G$5</xm:f>
          </x14:formula1>
          <xm:sqref>H2:H1048576</xm:sqref>
        </x14:dataValidation>
        <x14:dataValidation type="list" allowBlank="1" showInputMessage="1" showErrorMessage="1" xr:uid="{D14A4C04-BF64-426E-9E1D-D5E06AA8DD1B}">
          <x14:formula1>
            <xm:f>List!$E$2:$E$7</xm:f>
          </x14:formula1>
          <xm:sqref>G2:G1048576</xm:sqref>
        </x14:dataValidation>
        <x14:dataValidation type="list" allowBlank="1" showInputMessage="1" showErrorMessage="1" xr:uid="{590EFA64-4C32-4EF4-BBEE-89A2014B0D10}">
          <x14:formula1>
            <xm:f>List!$A:$A</xm:f>
          </x14:formula1>
          <xm:sqref>E2:E1048576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60B05-2A34-4B8D-96F2-BBE3E314B4E0}">
  <sheetPr codeName="Sheet4"/>
  <dimension ref="A1:U16"/>
  <sheetViews>
    <sheetView zoomScale="85" zoomScaleNormal="85" workbookViewId="0">
      <selection activeCell="L11" sqref="L11"/>
    </sheetView>
  </sheetViews>
  <sheetFormatPr defaultRowHeight="15" x14ac:dyDescent="0.25"/>
  <cols>
    <col min="1" max="3" width="11" style="8" customWidth="1"/>
    <col min="4" max="4" width="14.28515625" style="8" bestFit="1" customWidth="1"/>
    <col min="5" max="6" width="14.85546875" style="8" customWidth="1"/>
    <col min="7" max="8" width="14.7109375" style="8" customWidth="1"/>
    <col min="9" max="9" width="11" style="8" customWidth="1"/>
    <col min="10" max="19" width="12" style="8" customWidth="1"/>
    <col min="20" max="20" width="10.5703125" style="8" customWidth="1"/>
    <col min="21" max="21" width="176.85546875" style="8" customWidth="1"/>
  </cols>
  <sheetData>
    <row r="1" spans="1:21" ht="30" x14ac:dyDescent="0.25">
      <c r="A1" s="85" t="s">
        <v>194</v>
      </c>
      <c r="B1" s="85" t="s">
        <v>9</v>
      </c>
      <c r="C1" s="85" t="s">
        <v>10</v>
      </c>
      <c r="D1" s="86" t="s">
        <v>11</v>
      </c>
      <c r="E1" s="85" t="s">
        <v>12</v>
      </c>
      <c r="F1" s="85" t="s">
        <v>63</v>
      </c>
      <c r="G1" s="85" t="s">
        <v>13</v>
      </c>
      <c r="H1" s="85" t="s">
        <v>14</v>
      </c>
      <c r="I1" s="85" t="s">
        <v>15</v>
      </c>
      <c r="J1" s="85" t="s">
        <v>16</v>
      </c>
      <c r="K1" s="85" t="s">
        <v>17</v>
      </c>
      <c r="L1" s="85" t="s">
        <v>18</v>
      </c>
      <c r="M1" s="85" t="s">
        <v>19</v>
      </c>
      <c r="N1" s="85" t="s">
        <v>20</v>
      </c>
      <c r="O1" s="85" t="s">
        <v>21</v>
      </c>
      <c r="P1" s="85" t="s">
        <v>530</v>
      </c>
      <c r="Q1" s="85" t="s">
        <v>531</v>
      </c>
      <c r="R1" s="85" t="s">
        <v>529</v>
      </c>
      <c r="S1" s="85" t="s">
        <v>22</v>
      </c>
      <c r="T1" s="85" t="s">
        <v>23</v>
      </c>
      <c r="U1" s="85" t="s">
        <v>24</v>
      </c>
    </row>
    <row r="2" spans="1:21" x14ac:dyDescent="0.25">
      <c r="A2" s="38">
        <v>138220</v>
      </c>
      <c r="B2" s="39">
        <v>45330</v>
      </c>
      <c r="C2" s="38" t="s">
        <v>97</v>
      </c>
      <c r="D2" s="38" t="s">
        <v>58</v>
      </c>
      <c r="E2" s="38" t="s">
        <v>433</v>
      </c>
      <c r="F2" s="38" t="s">
        <v>393</v>
      </c>
      <c r="G2" s="38"/>
      <c r="H2" s="38" t="s">
        <v>260</v>
      </c>
      <c r="I2" s="38">
        <v>8</v>
      </c>
      <c r="J2" s="38">
        <v>340</v>
      </c>
      <c r="K2" s="38"/>
      <c r="L2" s="38"/>
      <c r="M2" s="38">
        <v>340</v>
      </c>
      <c r="N2" s="117">
        <v>1</v>
      </c>
      <c r="O2" s="38">
        <f>Tbl_2024[[#This Row],[Wt. Befor ratio]]*N2</f>
        <v>340</v>
      </c>
      <c r="P2" s="38"/>
      <c r="Q2" s="38"/>
      <c r="R2" s="38"/>
      <c r="S2" s="38"/>
      <c r="T2" s="38" t="s">
        <v>78</v>
      </c>
      <c r="U2" s="38" t="s">
        <v>101</v>
      </c>
    </row>
    <row r="3" spans="1:21" x14ac:dyDescent="0.25">
      <c r="A3" s="38">
        <v>138492</v>
      </c>
      <c r="B3" s="39">
        <v>45454</v>
      </c>
      <c r="C3" s="38" t="s">
        <v>85</v>
      </c>
      <c r="D3" s="38" t="s">
        <v>39</v>
      </c>
      <c r="E3" s="38" t="s">
        <v>1</v>
      </c>
      <c r="F3" s="38" t="s">
        <v>98</v>
      </c>
      <c r="G3" s="38" t="s">
        <v>253</v>
      </c>
      <c r="H3" s="38" t="s">
        <v>260</v>
      </c>
      <c r="I3" s="38">
        <v>330</v>
      </c>
      <c r="J3" s="38">
        <v>6900</v>
      </c>
      <c r="K3" s="38">
        <v>69</v>
      </c>
      <c r="L3" s="38">
        <v>83</v>
      </c>
      <c r="M3" s="38">
        <v>6748</v>
      </c>
      <c r="N3" s="117">
        <v>1</v>
      </c>
      <c r="O3" s="38">
        <f>Tbl_2024[[#This Row],[Wt. Befor ratio]]*N3</f>
        <v>6748</v>
      </c>
      <c r="P3" s="38"/>
      <c r="Q3" s="38"/>
      <c r="R3" s="38"/>
      <c r="S3" s="38"/>
      <c r="T3" s="38" t="s">
        <v>78</v>
      </c>
      <c r="U3" s="38"/>
    </row>
    <row r="4" spans="1:21" x14ac:dyDescent="0.25">
      <c r="A4" s="38">
        <v>138664</v>
      </c>
      <c r="B4" s="39">
        <v>45499</v>
      </c>
      <c r="C4" s="38" t="s">
        <v>86</v>
      </c>
      <c r="D4" s="38" t="s">
        <v>39</v>
      </c>
      <c r="E4" s="38" t="s">
        <v>1</v>
      </c>
      <c r="F4" s="38" t="s">
        <v>98</v>
      </c>
      <c r="G4" s="38" t="s">
        <v>253</v>
      </c>
      <c r="H4" s="38" t="s">
        <v>260</v>
      </c>
      <c r="I4" s="38">
        <v>233</v>
      </c>
      <c r="J4" s="38">
        <v>5970</v>
      </c>
      <c r="K4" s="38">
        <v>60</v>
      </c>
      <c r="L4" s="38">
        <v>58</v>
      </c>
      <c r="M4" s="38">
        <v>5852</v>
      </c>
      <c r="N4" s="117">
        <v>1</v>
      </c>
      <c r="O4" s="38">
        <f>Tbl_2024[[#This Row],[Wt. Befor ratio]]*N4</f>
        <v>5852</v>
      </c>
      <c r="P4" s="38"/>
      <c r="Q4" s="38"/>
      <c r="R4" s="38"/>
      <c r="S4" s="38"/>
      <c r="T4" s="38" t="s">
        <v>78</v>
      </c>
      <c r="U4" s="38"/>
    </row>
    <row r="5" spans="1:21" x14ac:dyDescent="0.25">
      <c r="A5" s="38">
        <v>138675</v>
      </c>
      <c r="B5" s="39">
        <v>45502</v>
      </c>
      <c r="C5" s="38" t="s">
        <v>87</v>
      </c>
      <c r="D5" s="38" t="s">
        <v>39</v>
      </c>
      <c r="E5" s="38" t="s">
        <v>1</v>
      </c>
      <c r="F5" s="38" t="s">
        <v>98</v>
      </c>
      <c r="G5" s="38" t="s">
        <v>253</v>
      </c>
      <c r="H5" s="38" t="s">
        <v>260</v>
      </c>
      <c r="I5" s="38">
        <v>270</v>
      </c>
      <c r="J5" s="38">
        <v>6970</v>
      </c>
      <c r="K5" s="38">
        <v>70</v>
      </c>
      <c r="L5" s="38">
        <v>68</v>
      </c>
      <c r="M5" s="38">
        <v>6832</v>
      </c>
      <c r="N5" s="117">
        <v>1</v>
      </c>
      <c r="O5" s="38">
        <f>Tbl_2024[[#This Row],[Wt. Befor ratio]]*N5</f>
        <v>6832</v>
      </c>
      <c r="P5" s="38"/>
      <c r="Q5" s="38"/>
      <c r="R5" s="38"/>
      <c r="S5" s="38"/>
      <c r="T5" s="38" t="s">
        <v>102</v>
      </c>
      <c r="U5" s="38"/>
    </row>
    <row r="6" spans="1:21" x14ac:dyDescent="0.25">
      <c r="A6" s="38">
        <v>138689</v>
      </c>
      <c r="B6" s="39">
        <v>45504</v>
      </c>
      <c r="C6" s="38" t="s">
        <v>88</v>
      </c>
      <c r="D6" s="38" t="s">
        <v>35</v>
      </c>
      <c r="E6" s="38" t="s">
        <v>3</v>
      </c>
      <c r="F6" s="38" t="s">
        <v>99</v>
      </c>
      <c r="G6" s="38" t="s">
        <v>253</v>
      </c>
      <c r="H6" s="38" t="s">
        <v>260</v>
      </c>
      <c r="I6" s="38">
        <v>720</v>
      </c>
      <c r="J6" s="38">
        <v>16190</v>
      </c>
      <c r="K6" s="38">
        <v>150</v>
      </c>
      <c r="L6" s="38">
        <v>180</v>
      </c>
      <c r="M6" s="38">
        <v>15860</v>
      </c>
      <c r="N6" s="117">
        <v>0.51</v>
      </c>
      <c r="O6" s="38">
        <f>Tbl_2024[[#This Row],[Wt. Befor ratio]]*N6</f>
        <v>8088.6</v>
      </c>
      <c r="P6" s="38"/>
      <c r="Q6" s="38"/>
      <c r="R6" s="38"/>
      <c r="S6" s="38"/>
      <c r="T6" s="38" t="s">
        <v>102</v>
      </c>
      <c r="U6" s="38"/>
    </row>
    <row r="7" spans="1:21" x14ac:dyDescent="0.25">
      <c r="A7" s="38">
        <v>138756</v>
      </c>
      <c r="B7" s="39">
        <v>45519</v>
      </c>
      <c r="C7" s="38" t="s">
        <v>89</v>
      </c>
      <c r="D7" s="38" t="s">
        <v>39</v>
      </c>
      <c r="E7" s="38" t="s">
        <v>1</v>
      </c>
      <c r="F7" s="38" t="s">
        <v>98</v>
      </c>
      <c r="G7" s="38" t="s">
        <v>253</v>
      </c>
      <c r="H7" s="38" t="s">
        <v>260</v>
      </c>
      <c r="I7" s="38">
        <v>218</v>
      </c>
      <c r="J7" s="38">
        <v>5680</v>
      </c>
      <c r="K7" s="38">
        <v>57</v>
      </c>
      <c r="L7" s="38">
        <v>55</v>
      </c>
      <c r="M7" s="38">
        <v>5568</v>
      </c>
      <c r="N7" s="117">
        <v>1</v>
      </c>
      <c r="O7" s="38">
        <f>Tbl_2024[[#This Row],[Wt. Befor ratio]]*N7</f>
        <v>5568</v>
      </c>
      <c r="P7" s="38"/>
      <c r="Q7" s="38"/>
      <c r="R7" s="38"/>
      <c r="S7" s="38"/>
      <c r="T7" s="38" t="s">
        <v>78</v>
      </c>
      <c r="U7" s="38" t="s">
        <v>103</v>
      </c>
    </row>
    <row r="8" spans="1:21" x14ac:dyDescent="0.25">
      <c r="A8" s="38">
        <v>138760</v>
      </c>
      <c r="B8" s="39">
        <v>45522</v>
      </c>
      <c r="C8" s="38" t="s">
        <v>90</v>
      </c>
      <c r="D8" s="38" t="s">
        <v>39</v>
      </c>
      <c r="E8" s="38" t="s">
        <v>1</v>
      </c>
      <c r="F8" s="38" t="s">
        <v>98</v>
      </c>
      <c r="G8" s="38" t="s">
        <v>253</v>
      </c>
      <c r="H8" s="38" t="s">
        <v>260</v>
      </c>
      <c r="I8" s="38">
        <v>500</v>
      </c>
      <c r="J8" s="38">
        <v>6530</v>
      </c>
      <c r="K8" s="38">
        <v>65</v>
      </c>
      <c r="L8" s="38">
        <v>125</v>
      </c>
      <c r="M8" s="38">
        <v>6340</v>
      </c>
      <c r="N8" s="117">
        <v>1</v>
      </c>
      <c r="O8" s="38">
        <f>Tbl_2024[[#This Row],[Wt. Befor ratio]]*N8</f>
        <v>6340</v>
      </c>
      <c r="P8" s="38"/>
      <c r="Q8" s="38"/>
      <c r="R8" s="38"/>
      <c r="S8" s="38"/>
      <c r="T8" s="38" t="s">
        <v>78</v>
      </c>
      <c r="U8" s="38"/>
    </row>
    <row r="9" spans="1:21" x14ac:dyDescent="0.25">
      <c r="A9" s="38">
        <v>138779</v>
      </c>
      <c r="B9" s="39">
        <v>45532</v>
      </c>
      <c r="C9" s="38" t="s">
        <v>91</v>
      </c>
      <c r="D9" s="38" t="s">
        <v>39</v>
      </c>
      <c r="E9" s="38" t="s">
        <v>1</v>
      </c>
      <c r="F9" s="38" t="s">
        <v>98</v>
      </c>
      <c r="G9" s="38" t="s">
        <v>253</v>
      </c>
      <c r="H9" s="38" t="s">
        <v>260</v>
      </c>
      <c r="I9" s="38">
        <v>332</v>
      </c>
      <c r="J9" s="38">
        <v>8590</v>
      </c>
      <c r="K9" s="38">
        <v>86</v>
      </c>
      <c r="L9" s="38">
        <v>83</v>
      </c>
      <c r="M9" s="38">
        <v>8421</v>
      </c>
      <c r="N9" s="117">
        <v>1</v>
      </c>
      <c r="O9" s="38">
        <f>Tbl_2024[[#This Row],[Wt. Befor ratio]]*N9</f>
        <v>8421</v>
      </c>
      <c r="P9" s="38"/>
      <c r="Q9" s="38"/>
      <c r="R9" s="38"/>
      <c r="S9" s="38"/>
      <c r="T9" s="38" t="s">
        <v>83</v>
      </c>
      <c r="U9" s="38"/>
    </row>
    <row r="10" spans="1:21" ht="18.75" x14ac:dyDescent="0.25">
      <c r="A10" s="38">
        <v>138879</v>
      </c>
      <c r="B10" s="39">
        <v>45564</v>
      </c>
      <c r="C10" s="38" t="s">
        <v>92</v>
      </c>
      <c r="D10" s="38" t="s">
        <v>53</v>
      </c>
      <c r="E10" s="38" t="s">
        <v>239</v>
      </c>
      <c r="F10" s="38" t="s">
        <v>100</v>
      </c>
      <c r="G10" s="38" t="s">
        <v>252</v>
      </c>
      <c r="H10" s="38" t="s">
        <v>260</v>
      </c>
      <c r="I10" s="38">
        <v>280</v>
      </c>
      <c r="J10" s="38">
        <v>3880</v>
      </c>
      <c r="K10" s="38">
        <v>50</v>
      </c>
      <c r="L10" s="38">
        <v>70</v>
      </c>
      <c r="M10" s="38">
        <v>3760</v>
      </c>
      <c r="N10" s="117">
        <v>0.68400000000000005</v>
      </c>
      <c r="O10" s="38">
        <f>Tbl_2024[[#This Row],[Wt. Befor ratio]]*N10</f>
        <v>2571.84</v>
      </c>
      <c r="P10" s="38"/>
      <c r="Q10" s="38"/>
      <c r="R10" s="38"/>
      <c r="S10" s="38"/>
      <c r="T10" s="38" t="s">
        <v>83</v>
      </c>
      <c r="U10" s="180" t="s">
        <v>104</v>
      </c>
    </row>
    <row r="11" spans="1:21" ht="18.75" x14ac:dyDescent="0.25">
      <c r="A11" s="38">
        <v>138911</v>
      </c>
      <c r="B11" s="39">
        <v>45580</v>
      </c>
      <c r="C11" s="38" t="s">
        <v>93</v>
      </c>
      <c r="D11" s="38" t="s">
        <v>58</v>
      </c>
      <c r="E11" s="38" t="s">
        <v>239</v>
      </c>
      <c r="F11" s="38" t="s">
        <v>100</v>
      </c>
      <c r="G11" s="38" t="s">
        <v>252</v>
      </c>
      <c r="H11" s="38" t="s">
        <v>260</v>
      </c>
      <c r="I11" s="38">
        <v>270</v>
      </c>
      <c r="J11" s="38">
        <v>2741</v>
      </c>
      <c r="K11" s="38">
        <v>27</v>
      </c>
      <c r="L11" s="38">
        <v>68</v>
      </c>
      <c r="M11" s="38">
        <v>2646</v>
      </c>
      <c r="N11" s="117">
        <v>0.41</v>
      </c>
      <c r="O11" s="38">
        <f>Tbl_2024[[#This Row],[Wt. Befor ratio]]*N11</f>
        <v>1084.8599999999999</v>
      </c>
      <c r="P11" s="38"/>
      <c r="Q11" s="38"/>
      <c r="R11" s="38"/>
      <c r="S11" s="38"/>
      <c r="T11" s="38" t="s">
        <v>105</v>
      </c>
      <c r="U11" s="180" t="s">
        <v>540</v>
      </c>
    </row>
    <row r="12" spans="1:21" x14ac:dyDescent="0.25">
      <c r="A12" s="38">
        <v>138946</v>
      </c>
      <c r="B12" s="39">
        <v>45596</v>
      </c>
      <c r="C12" s="38" t="s">
        <v>94</v>
      </c>
      <c r="D12" s="38" t="s">
        <v>95</v>
      </c>
      <c r="E12" s="38" t="s">
        <v>3</v>
      </c>
      <c r="F12" s="38" t="s">
        <v>99</v>
      </c>
      <c r="G12" s="38" t="s">
        <v>252</v>
      </c>
      <c r="H12" s="38" t="s">
        <v>260</v>
      </c>
      <c r="I12" s="38">
        <v>247</v>
      </c>
      <c r="J12" s="38">
        <v>4825</v>
      </c>
      <c r="K12" s="38">
        <v>50</v>
      </c>
      <c r="L12" s="38">
        <v>62</v>
      </c>
      <c r="M12" s="38">
        <v>4713</v>
      </c>
      <c r="N12" s="117">
        <v>0.56999999999999995</v>
      </c>
      <c r="O12" s="38">
        <f>Tbl_2024[[#This Row],[Wt. Befor ratio]]*N12</f>
        <v>2686.41</v>
      </c>
      <c r="P12" s="38"/>
      <c r="Q12" s="38"/>
      <c r="R12" s="38"/>
      <c r="S12" s="38"/>
      <c r="T12" s="38" t="s">
        <v>81</v>
      </c>
      <c r="U12" s="38" t="s">
        <v>106</v>
      </c>
    </row>
    <row r="13" spans="1:21" x14ac:dyDescent="0.25">
      <c r="A13" s="38">
        <v>138965</v>
      </c>
      <c r="B13" s="39">
        <v>45602</v>
      </c>
      <c r="C13" s="38" t="s">
        <v>94</v>
      </c>
      <c r="D13" s="38" t="s">
        <v>432</v>
      </c>
      <c r="E13" s="38" t="s">
        <v>3</v>
      </c>
      <c r="F13" s="38" t="s">
        <v>99</v>
      </c>
      <c r="G13" s="38" t="s">
        <v>253</v>
      </c>
      <c r="H13" s="38" t="s">
        <v>260</v>
      </c>
      <c r="I13" s="38">
        <v>485</v>
      </c>
      <c r="J13" s="38">
        <v>10860</v>
      </c>
      <c r="K13" s="38">
        <v>100</v>
      </c>
      <c r="L13" s="38">
        <v>121</v>
      </c>
      <c r="M13" s="38">
        <v>10639</v>
      </c>
      <c r="N13" s="117">
        <v>0.62</v>
      </c>
      <c r="O13" s="38">
        <f>Tbl_2024[[#This Row],[Wt. Befor ratio]]*N13</f>
        <v>6596.18</v>
      </c>
      <c r="P13" s="38"/>
      <c r="Q13" s="38"/>
      <c r="R13" s="38"/>
      <c r="S13" s="38"/>
      <c r="T13" s="38" t="s">
        <v>102</v>
      </c>
      <c r="U13" s="38" t="s">
        <v>107</v>
      </c>
    </row>
    <row r="14" spans="1:21" ht="18.75" x14ac:dyDescent="0.25">
      <c r="A14" s="38">
        <v>139036</v>
      </c>
      <c r="B14" s="39">
        <v>45643</v>
      </c>
      <c r="C14" s="38" t="s">
        <v>96</v>
      </c>
      <c r="D14" s="38" t="s">
        <v>58</v>
      </c>
      <c r="E14" s="38" t="s">
        <v>3</v>
      </c>
      <c r="F14" s="38" t="s">
        <v>99</v>
      </c>
      <c r="G14" s="38" t="s">
        <v>252</v>
      </c>
      <c r="H14" s="38" t="s">
        <v>61</v>
      </c>
      <c r="I14" s="38">
        <v>365</v>
      </c>
      <c r="J14" s="38">
        <v>9870</v>
      </c>
      <c r="K14" s="38">
        <v>100</v>
      </c>
      <c r="L14" s="38">
        <v>91</v>
      </c>
      <c r="M14" s="38">
        <v>9679</v>
      </c>
      <c r="N14" s="117">
        <v>0.53</v>
      </c>
      <c r="O14" s="38">
        <f>Tbl_2024[[#This Row],[Wt. Befor ratio]]*N14</f>
        <v>5129.87</v>
      </c>
      <c r="P14" s="38"/>
      <c r="Q14" s="38"/>
      <c r="R14" s="38"/>
      <c r="S14" s="38"/>
      <c r="T14" s="38" t="s">
        <v>102</v>
      </c>
      <c r="U14" s="185" t="s">
        <v>108</v>
      </c>
    </row>
    <row r="15" spans="1:21" ht="18.75" x14ac:dyDescent="0.25">
      <c r="A15" s="38">
        <v>139040</v>
      </c>
      <c r="B15" s="39">
        <v>45647</v>
      </c>
      <c r="C15" s="38" t="s">
        <v>97</v>
      </c>
      <c r="D15" s="38" t="s">
        <v>58</v>
      </c>
      <c r="E15" s="38" t="s">
        <v>211</v>
      </c>
      <c r="F15" s="38" t="s">
        <v>74</v>
      </c>
      <c r="G15" s="38" t="s">
        <v>253</v>
      </c>
      <c r="H15" s="38" t="s">
        <v>260</v>
      </c>
      <c r="I15" s="38">
        <v>541</v>
      </c>
      <c r="J15" s="38">
        <v>7620</v>
      </c>
      <c r="K15" s="38">
        <v>76</v>
      </c>
      <c r="L15" s="38">
        <v>135</v>
      </c>
      <c r="M15" s="38">
        <v>7409</v>
      </c>
      <c r="N15" s="117">
        <v>0.66</v>
      </c>
      <c r="O15" s="38">
        <f>Tbl_2024[[#This Row],[Wt. Befor ratio]]*N15</f>
        <v>4889.9400000000005</v>
      </c>
      <c r="P15" s="38"/>
      <c r="Q15" s="38"/>
      <c r="R15" s="38"/>
      <c r="S15" s="38"/>
      <c r="T15" s="38" t="s">
        <v>102</v>
      </c>
      <c r="U15" s="185" t="s">
        <v>109</v>
      </c>
    </row>
    <row r="16" spans="1:21" x14ac:dyDescent="0.25">
      <c r="A16" s="111">
        <v>139060</v>
      </c>
      <c r="B16" s="111" t="s">
        <v>536</v>
      </c>
      <c r="C16" s="111" t="s">
        <v>85</v>
      </c>
      <c r="D16" s="111" t="s">
        <v>58</v>
      </c>
      <c r="E16" s="111" t="s">
        <v>211</v>
      </c>
      <c r="F16" s="111" t="s">
        <v>74</v>
      </c>
      <c r="G16" s="111" t="s">
        <v>254</v>
      </c>
      <c r="H16" s="111" t="s">
        <v>434</v>
      </c>
      <c r="I16" s="111">
        <v>560</v>
      </c>
      <c r="J16" s="111">
        <v>7730</v>
      </c>
      <c r="K16" s="111">
        <v>77</v>
      </c>
      <c r="L16" s="111">
        <v>140</v>
      </c>
      <c r="M16" s="111">
        <v>7513</v>
      </c>
      <c r="N16" s="108">
        <v>0.6</v>
      </c>
      <c r="O16" s="111">
        <f>Tbl_2024[[#This Row],[Wt. Befor ratio]]*N16</f>
        <v>4507.8</v>
      </c>
      <c r="P16" s="111"/>
      <c r="Q16" s="111"/>
      <c r="R16" s="111"/>
      <c r="S16" s="111"/>
      <c r="T16" s="111" t="s">
        <v>102</v>
      </c>
      <c r="U16" s="111" t="s">
        <v>110</v>
      </c>
    </row>
  </sheetData>
  <conditionalFormatting sqref="A2:U9 A10:T11 A12:U13 A14:T15 A16:U16">
    <cfRule type="expression" dxfId="10" priority="1">
      <formula>$P2="Rejected"</formula>
    </cfRule>
    <cfRule type="expression" dxfId="9" priority="2">
      <formula>$P2="Canceled"</formula>
    </cfRule>
    <cfRule type="expression" dxfId="8" priority="7">
      <formula>$P2="Released"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D469125-F359-45DC-BEEF-C3BEDAF0C4B9}">
          <x14:formula1>
            <xm:f>List!$A:$A</xm:f>
          </x14:formula1>
          <xm:sqref>D17:D1048576 E2:E16</xm:sqref>
        </x14:dataValidation>
        <x14:dataValidation type="list" allowBlank="1" showInputMessage="1" showErrorMessage="1" xr:uid="{70ACEDB5-0FEF-47EC-AF4D-6975C17D76D0}">
          <x14:formula1>
            <xm:f>List!$C:$C</xm:f>
          </x14:formula1>
          <xm:sqref>C17:C1048576 D2:D16</xm:sqref>
        </x14:dataValidation>
        <x14:dataValidation type="list" allowBlank="1" showInputMessage="1" showErrorMessage="1" xr:uid="{83D01878-C01B-445B-9CE8-74E8823B46AC}">
          <x14:formula1>
            <xm:f>List!$G$2:$G$5</xm:f>
          </x14:formula1>
          <xm:sqref>H2:H15</xm:sqref>
        </x14:dataValidation>
        <x14:dataValidation type="list" allowBlank="1" showInputMessage="1" showErrorMessage="1" xr:uid="{F61EA07E-EAC6-4C3B-9990-F5196B84F7B9}">
          <x14:formula1>
            <xm:f>List!$E$2:$E$7</xm:f>
          </x14:formula1>
          <xm:sqref>G2:G15</xm:sqref>
        </x14:dataValidation>
        <x14:dataValidation type="list" allowBlank="1" showInputMessage="1" showErrorMessage="1" xr:uid="{F696E68E-3AEF-400F-A3B8-45E03E77655D}">
          <x14:formula1>
            <xm:f>List!$I$2:$I$5</xm:f>
          </x14:formula1>
          <xm:sqref>P17:P1048576 P2:P15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4D08F-313E-4844-B4EC-1B6405864E38}">
  <sheetPr codeName="Sheet5"/>
  <dimension ref="A1:U8"/>
  <sheetViews>
    <sheetView workbookViewId="0">
      <selection activeCell="N5" sqref="N5"/>
    </sheetView>
  </sheetViews>
  <sheetFormatPr defaultRowHeight="15" x14ac:dyDescent="0.25"/>
  <cols>
    <col min="1" max="1" width="11" style="8" customWidth="1"/>
    <col min="2" max="2" width="11.85546875" style="8" bestFit="1" customWidth="1"/>
    <col min="3" max="3" width="11" style="8" bestFit="1" customWidth="1"/>
    <col min="4" max="4" width="11" style="8" customWidth="1"/>
    <col min="5" max="6" width="14.42578125" style="8" bestFit="1" customWidth="1"/>
    <col min="7" max="9" width="11" style="8" customWidth="1"/>
    <col min="10" max="12" width="12" style="8" customWidth="1"/>
    <col min="13" max="13" width="12" style="9" customWidth="1"/>
    <col min="14" max="19" width="12" style="8" customWidth="1"/>
    <col min="20" max="20" width="49.7109375" style="8" bestFit="1" customWidth="1"/>
    <col min="21" max="21" width="49.7109375" bestFit="1" customWidth="1"/>
  </cols>
  <sheetData>
    <row r="1" spans="1:21" ht="30" x14ac:dyDescent="0.25">
      <c r="A1" s="10" t="s">
        <v>194</v>
      </c>
      <c r="B1" s="4" t="s">
        <v>9</v>
      </c>
      <c r="C1" s="2" t="s">
        <v>10</v>
      </c>
      <c r="D1" s="5" t="s">
        <v>11</v>
      </c>
      <c r="E1" s="2" t="s">
        <v>12</v>
      </c>
      <c r="F1" s="2" t="s">
        <v>63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7" t="s">
        <v>20</v>
      </c>
      <c r="O1" s="2" t="s">
        <v>21</v>
      </c>
      <c r="P1" s="2" t="s">
        <v>530</v>
      </c>
      <c r="Q1" s="2" t="s">
        <v>531</v>
      </c>
      <c r="R1" s="2" t="s">
        <v>529</v>
      </c>
      <c r="S1" s="2" t="s">
        <v>22</v>
      </c>
      <c r="T1" s="2" t="s">
        <v>23</v>
      </c>
      <c r="U1" s="3" t="s">
        <v>24</v>
      </c>
    </row>
    <row r="2" spans="1:21" s="6" customFormat="1" ht="15.75" x14ac:dyDescent="0.25">
      <c r="A2" s="118">
        <v>137626</v>
      </c>
      <c r="B2" s="119">
        <v>45089</v>
      </c>
      <c r="C2" s="120" t="s">
        <v>64</v>
      </c>
      <c r="D2" s="120" t="s">
        <v>65</v>
      </c>
      <c r="E2" s="120" t="s">
        <v>247</v>
      </c>
      <c r="F2" s="120" t="s">
        <v>72</v>
      </c>
      <c r="G2" s="120" t="s">
        <v>252</v>
      </c>
      <c r="H2" s="120" t="s">
        <v>260</v>
      </c>
      <c r="I2" s="120">
        <v>27</v>
      </c>
      <c r="J2" s="120">
        <v>1000</v>
      </c>
      <c r="K2" s="120"/>
      <c r="L2" s="120">
        <v>5</v>
      </c>
      <c r="M2" s="120">
        <v>995</v>
      </c>
      <c r="N2" s="121">
        <v>1</v>
      </c>
      <c r="O2" s="120">
        <v>995</v>
      </c>
      <c r="P2" s="120"/>
      <c r="Q2" s="120"/>
      <c r="R2" s="120"/>
      <c r="S2" s="120"/>
      <c r="T2" s="120" t="s">
        <v>77</v>
      </c>
      <c r="U2" s="122"/>
    </row>
    <row r="3" spans="1:21" s="6" customFormat="1" ht="15.75" x14ac:dyDescent="0.25">
      <c r="A3" s="120">
        <v>137801</v>
      </c>
      <c r="B3" s="119">
        <v>45160</v>
      </c>
      <c r="C3" s="120" t="s">
        <v>66</v>
      </c>
      <c r="D3" s="120" t="s">
        <v>39</v>
      </c>
      <c r="E3" s="120" t="s">
        <v>1</v>
      </c>
      <c r="F3" s="120" t="s">
        <v>73</v>
      </c>
      <c r="G3" s="120" t="s">
        <v>253</v>
      </c>
      <c r="H3" s="120" t="s">
        <v>260</v>
      </c>
      <c r="I3" s="120">
        <v>170</v>
      </c>
      <c r="J3" s="120">
        <v>4410</v>
      </c>
      <c r="K3" s="120">
        <v>53</v>
      </c>
      <c r="L3" s="120">
        <v>43</v>
      </c>
      <c r="M3" s="120">
        <v>4314</v>
      </c>
      <c r="N3" s="121">
        <v>1</v>
      </c>
      <c r="O3" s="120">
        <v>4314</v>
      </c>
      <c r="P3" s="120"/>
      <c r="Q3" s="120"/>
      <c r="R3" s="120"/>
      <c r="S3" s="120"/>
      <c r="T3" s="120" t="s">
        <v>78</v>
      </c>
      <c r="U3" s="122" t="s">
        <v>79</v>
      </c>
    </row>
    <row r="4" spans="1:21" s="6" customFormat="1" ht="15.75" x14ac:dyDescent="0.25">
      <c r="A4" s="120">
        <v>137814</v>
      </c>
      <c r="B4" s="119">
        <v>45161</v>
      </c>
      <c r="C4" s="120" t="s">
        <v>67</v>
      </c>
      <c r="D4" s="120" t="s">
        <v>39</v>
      </c>
      <c r="E4" s="120" t="s">
        <v>1</v>
      </c>
      <c r="F4" s="120" t="s">
        <v>73</v>
      </c>
      <c r="G4" s="120" t="s">
        <v>253</v>
      </c>
      <c r="H4" s="120" t="s">
        <v>260</v>
      </c>
      <c r="I4" s="120">
        <v>160</v>
      </c>
      <c r="J4" s="120">
        <v>4200</v>
      </c>
      <c r="K4" s="120">
        <v>42</v>
      </c>
      <c r="L4" s="120">
        <v>40</v>
      </c>
      <c r="M4" s="120">
        <v>4118</v>
      </c>
      <c r="N4" s="121">
        <v>1</v>
      </c>
      <c r="O4" s="120">
        <v>4118</v>
      </c>
      <c r="P4" s="120"/>
      <c r="Q4" s="120"/>
      <c r="R4" s="120"/>
      <c r="S4" s="120"/>
      <c r="T4" s="120" t="s">
        <v>78</v>
      </c>
      <c r="U4" s="122"/>
    </row>
    <row r="5" spans="1:21" s="6" customFormat="1" ht="15.75" x14ac:dyDescent="0.25">
      <c r="A5" s="120">
        <v>137821</v>
      </c>
      <c r="B5" s="119">
        <v>45164</v>
      </c>
      <c r="C5" s="120" t="s">
        <v>68</v>
      </c>
      <c r="D5" s="120" t="s">
        <v>39</v>
      </c>
      <c r="E5" s="120" t="s">
        <v>1</v>
      </c>
      <c r="F5" s="120" t="s">
        <v>73</v>
      </c>
      <c r="G5" s="120" t="s">
        <v>253</v>
      </c>
      <c r="H5" s="120" t="s">
        <v>260</v>
      </c>
      <c r="I5" s="120">
        <v>160</v>
      </c>
      <c r="J5" s="120">
        <v>4320</v>
      </c>
      <c r="K5" s="120">
        <v>43</v>
      </c>
      <c r="L5" s="120">
        <v>40</v>
      </c>
      <c r="M5" s="120">
        <v>4237</v>
      </c>
      <c r="N5" s="121">
        <v>1</v>
      </c>
      <c r="O5" s="120">
        <v>4237</v>
      </c>
      <c r="P5" s="120"/>
      <c r="Q5" s="120"/>
      <c r="R5" s="120"/>
      <c r="S5" s="120"/>
      <c r="T5" s="120" t="s">
        <v>78</v>
      </c>
      <c r="U5" s="193" t="s">
        <v>80</v>
      </c>
    </row>
    <row r="6" spans="1:21" s="6" customFormat="1" ht="15.75" x14ac:dyDescent="0.25">
      <c r="A6" s="120">
        <v>137901</v>
      </c>
      <c r="B6" s="119">
        <v>45189</v>
      </c>
      <c r="C6" s="120" t="s">
        <v>64</v>
      </c>
      <c r="D6" s="120" t="s">
        <v>71</v>
      </c>
      <c r="E6" s="120" t="s">
        <v>211</v>
      </c>
      <c r="F6" s="120" t="s">
        <v>74</v>
      </c>
      <c r="G6" s="120" t="s">
        <v>252</v>
      </c>
      <c r="H6" s="120" t="s">
        <v>261</v>
      </c>
      <c r="I6" s="120">
        <v>30</v>
      </c>
      <c r="J6" s="120">
        <v>320</v>
      </c>
      <c r="K6" s="120">
        <v>3</v>
      </c>
      <c r="L6" s="120">
        <v>35</v>
      </c>
      <c r="M6" s="120">
        <v>282</v>
      </c>
      <c r="N6" s="121">
        <v>1</v>
      </c>
      <c r="O6" s="120">
        <v>282</v>
      </c>
      <c r="P6" s="120"/>
      <c r="Q6" s="120"/>
      <c r="R6" s="120"/>
      <c r="S6" s="120"/>
      <c r="T6" s="120" t="s">
        <v>81</v>
      </c>
      <c r="U6" s="122" t="s">
        <v>82</v>
      </c>
    </row>
    <row r="7" spans="1:21" s="6" customFormat="1" ht="15.75" x14ac:dyDescent="0.25">
      <c r="A7" s="120">
        <v>138037</v>
      </c>
      <c r="B7" s="119">
        <v>45258</v>
      </c>
      <c r="C7" s="120" t="s">
        <v>69</v>
      </c>
      <c r="D7" s="120" t="s">
        <v>35</v>
      </c>
      <c r="E7" s="120" t="s">
        <v>1</v>
      </c>
      <c r="F7" s="120" t="s">
        <v>75</v>
      </c>
      <c r="G7" s="120" t="s">
        <v>252</v>
      </c>
      <c r="H7" s="120" t="s">
        <v>260</v>
      </c>
      <c r="I7" s="120">
        <v>438</v>
      </c>
      <c r="J7" s="120">
        <v>5660</v>
      </c>
      <c r="K7" s="120">
        <v>28</v>
      </c>
      <c r="L7" s="120">
        <v>110</v>
      </c>
      <c r="M7" s="120">
        <v>5522</v>
      </c>
      <c r="N7" s="121">
        <v>0.91</v>
      </c>
      <c r="O7" s="120">
        <v>5025.0200000000004</v>
      </c>
      <c r="P7" s="120"/>
      <c r="Q7" s="120"/>
      <c r="R7" s="120"/>
      <c r="S7" s="120"/>
      <c r="T7" s="120" t="s">
        <v>81</v>
      </c>
      <c r="U7" s="122"/>
    </row>
    <row r="8" spans="1:21" s="6" customFormat="1" ht="15.75" x14ac:dyDescent="0.25">
      <c r="A8" s="123">
        <v>138080</v>
      </c>
      <c r="B8" s="119">
        <v>45281</v>
      </c>
      <c r="C8" s="123" t="s">
        <v>70</v>
      </c>
      <c r="D8" s="123" t="s">
        <v>54</v>
      </c>
      <c r="E8" s="123" t="s">
        <v>219</v>
      </c>
      <c r="F8" s="123" t="s">
        <v>76</v>
      </c>
      <c r="G8" s="123" t="s">
        <v>252</v>
      </c>
      <c r="H8" s="120" t="s">
        <v>260</v>
      </c>
      <c r="I8" s="123">
        <v>373</v>
      </c>
      <c r="J8" s="123">
        <v>4220</v>
      </c>
      <c r="K8" s="123">
        <v>42</v>
      </c>
      <c r="L8" s="123"/>
      <c r="M8" s="123">
        <v>4178</v>
      </c>
      <c r="N8" s="124">
        <v>0.62</v>
      </c>
      <c r="O8" s="123">
        <v>2590.36</v>
      </c>
      <c r="P8" s="123"/>
      <c r="Q8" s="123"/>
      <c r="R8" s="123"/>
      <c r="S8" s="123"/>
      <c r="T8" s="123" t="s">
        <v>83</v>
      </c>
      <c r="U8" s="125"/>
    </row>
  </sheetData>
  <conditionalFormatting sqref="A2:U16">
    <cfRule type="expression" dxfId="7" priority="1">
      <formula>$P2="Rejected"</formula>
    </cfRule>
    <cfRule type="expression" dxfId="6" priority="4">
      <formula>$P2="Canceled"</formula>
    </cfRule>
    <cfRule type="expression" dxfId="5" priority="6">
      <formula>$P2="Released"</formula>
    </cfRule>
  </conditionalFormatting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3D72E67-925A-4357-A26A-CEFFEF97000C}">
          <x14:formula1>
            <xm:f>List!$C$2:$C$39</xm:f>
          </x14:formula1>
          <xm:sqref>D2:D8</xm:sqref>
        </x14:dataValidation>
        <x14:dataValidation type="list" allowBlank="1" showInputMessage="1" showErrorMessage="1" xr:uid="{71EE058A-33D9-4022-B90A-CA1B6C815A8C}">
          <x14:formula1>
            <xm:f>List!$G$2:$G$5</xm:f>
          </x14:formula1>
          <xm:sqref>H2:H8</xm:sqref>
        </x14:dataValidation>
        <x14:dataValidation type="list" allowBlank="1" showInputMessage="1" showErrorMessage="1" xr:uid="{EBABCABA-85FF-49AA-91B3-72404CADDDD4}">
          <x14:formula1>
            <xm:f>List!$E$2:$E$7</xm:f>
          </x14:formula1>
          <xm:sqref>G2:G8</xm:sqref>
        </x14:dataValidation>
        <x14:dataValidation type="list" allowBlank="1" showInputMessage="1" showErrorMessage="1" xr:uid="{5323459D-5F86-4FAB-B923-0DF2CF12552D}">
          <x14:formula1>
            <xm:f>List!$I$2:$I$5</xm:f>
          </x14:formula1>
          <xm:sqref>P2:P1048576</xm:sqref>
        </x14:dataValidation>
        <x14:dataValidation type="list" allowBlank="1" showInputMessage="1" showErrorMessage="1" xr:uid="{3A862BB8-58B3-4020-92E8-E58B07BE8EF6}">
          <x14:formula1>
            <xm:f>List!$A:$A</xm:f>
          </x14:formula1>
          <xm:sqref>E2:E8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A922D-549B-45F6-99EF-23399666951C}">
  <sheetPr codeName="Sheet6"/>
  <dimension ref="A1:M48"/>
  <sheetViews>
    <sheetView topLeftCell="A9" workbookViewId="0">
      <selection activeCell="A48" sqref="A48"/>
    </sheetView>
  </sheetViews>
  <sheetFormatPr defaultRowHeight="23.25" x14ac:dyDescent="0.35"/>
  <cols>
    <col min="1" max="1" width="24.7109375" style="70" bestFit="1" customWidth="1"/>
    <col min="2" max="2" width="20.42578125" style="70" bestFit="1" customWidth="1"/>
    <col min="3" max="3" width="30.5703125" style="77" bestFit="1" customWidth="1"/>
    <col min="4" max="4" width="0.28515625" style="72" customWidth="1"/>
    <col min="5" max="5" width="20" style="73" bestFit="1" customWidth="1"/>
    <col min="6" max="6" width="17.42578125" style="73" bestFit="1" customWidth="1"/>
    <col min="7" max="7" width="23.28515625" style="74" bestFit="1" customWidth="1"/>
    <col min="8" max="8" width="15.42578125" style="74" bestFit="1" customWidth="1"/>
    <col min="9" max="9" width="20.28515625" style="75" bestFit="1" customWidth="1"/>
    <col min="10" max="10" width="14.28515625" style="75" bestFit="1" customWidth="1"/>
    <col min="11" max="11" width="20.28515625" style="76" bestFit="1" customWidth="1"/>
    <col min="12" max="12" width="21.42578125" style="76" bestFit="1" customWidth="1"/>
    <col min="13" max="13" width="3.140625" style="11" customWidth="1"/>
  </cols>
  <sheetData>
    <row r="1" spans="1:13" s="69" customFormat="1" ht="31.5" x14ac:dyDescent="0.5">
      <c r="A1" s="78" t="s">
        <v>195</v>
      </c>
      <c r="B1" s="78" t="s">
        <v>363</v>
      </c>
      <c r="C1" s="79" t="s">
        <v>196</v>
      </c>
      <c r="D1" s="80"/>
      <c r="E1" s="81" t="s">
        <v>258</v>
      </c>
      <c r="F1" s="81" t="s">
        <v>397</v>
      </c>
      <c r="G1" s="82" t="s">
        <v>197</v>
      </c>
      <c r="H1" s="82" t="s">
        <v>403</v>
      </c>
      <c r="I1" s="83" t="s">
        <v>264</v>
      </c>
      <c r="J1" s="83" t="s">
        <v>409</v>
      </c>
      <c r="K1" s="84" t="s">
        <v>220</v>
      </c>
      <c r="L1" s="84" t="s">
        <v>412</v>
      </c>
    </row>
    <row r="2" spans="1:13" x14ac:dyDescent="0.35">
      <c r="A2" s="70" t="s">
        <v>227</v>
      </c>
      <c r="C2" s="71" t="s">
        <v>26</v>
      </c>
      <c r="E2" s="73" t="s">
        <v>252</v>
      </c>
      <c r="F2" s="73" t="s">
        <v>398</v>
      </c>
      <c r="G2" s="74" t="s">
        <v>260</v>
      </c>
      <c r="H2" s="74" t="s">
        <v>404</v>
      </c>
      <c r="I2" s="75">
        <v>0</v>
      </c>
      <c r="K2" s="76" t="s">
        <v>221</v>
      </c>
      <c r="L2" s="76" t="s">
        <v>413</v>
      </c>
      <c r="M2"/>
    </row>
    <row r="3" spans="1:13" x14ac:dyDescent="0.35">
      <c r="A3" s="70" t="s">
        <v>198</v>
      </c>
      <c r="B3" s="70" t="s">
        <v>123</v>
      </c>
      <c r="C3" s="71" t="s">
        <v>27</v>
      </c>
      <c r="E3" s="73" t="s">
        <v>253</v>
      </c>
      <c r="F3" s="73" t="s">
        <v>117</v>
      </c>
      <c r="G3" s="74" t="s">
        <v>261</v>
      </c>
      <c r="H3" s="74" t="s">
        <v>405</v>
      </c>
      <c r="I3" s="75" t="s">
        <v>84</v>
      </c>
      <c r="J3" s="75" t="s">
        <v>299</v>
      </c>
      <c r="K3" s="76" t="s">
        <v>222</v>
      </c>
      <c r="M3"/>
    </row>
    <row r="4" spans="1:13" x14ac:dyDescent="0.35">
      <c r="A4" s="70" t="s">
        <v>3</v>
      </c>
      <c r="B4" s="70" t="s">
        <v>371</v>
      </c>
      <c r="C4" s="71" t="s">
        <v>28</v>
      </c>
      <c r="E4" s="73" t="s">
        <v>257</v>
      </c>
      <c r="F4" s="73" t="s">
        <v>402</v>
      </c>
      <c r="G4" s="74" t="s">
        <v>61</v>
      </c>
      <c r="H4" s="74" t="s">
        <v>406</v>
      </c>
      <c r="I4" s="75" t="s">
        <v>262</v>
      </c>
      <c r="J4" s="75" t="s">
        <v>410</v>
      </c>
      <c r="K4" s="76" t="s">
        <v>223</v>
      </c>
      <c r="L4" s="76" t="s">
        <v>418</v>
      </c>
      <c r="M4"/>
    </row>
    <row r="5" spans="1:13" x14ac:dyDescent="0.35">
      <c r="A5" s="70" t="s">
        <v>199</v>
      </c>
      <c r="B5" s="70" t="s">
        <v>417</v>
      </c>
      <c r="C5" s="71" t="s">
        <v>29</v>
      </c>
      <c r="E5" s="73" t="s">
        <v>256</v>
      </c>
      <c r="F5" s="73" t="s">
        <v>401</v>
      </c>
      <c r="G5" s="74" t="s">
        <v>62</v>
      </c>
      <c r="H5" s="74" t="s">
        <v>407</v>
      </c>
      <c r="I5" s="75" t="s">
        <v>263</v>
      </c>
      <c r="J5" s="75" t="s">
        <v>411</v>
      </c>
      <c r="K5" s="76" t="s">
        <v>224</v>
      </c>
      <c r="L5" s="76" t="s">
        <v>419</v>
      </c>
      <c r="M5"/>
    </row>
    <row r="6" spans="1:13" x14ac:dyDescent="0.35">
      <c r="A6" s="70" t="s">
        <v>200</v>
      </c>
      <c r="B6" s="70" t="s">
        <v>387</v>
      </c>
      <c r="C6" s="71" t="s">
        <v>59</v>
      </c>
      <c r="E6" s="73" t="s">
        <v>254</v>
      </c>
      <c r="F6" s="73" t="s">
        <v>399</v>
      </c>
      <c r="G6" s="74" t="s">
        <v>259</v>
      </c>
      <c r="H6" s="74" t="s">
        <v>408</v>
      </c>
      <c r="K6" s="76" t="s">
        <v>226</v>
      </c>
      <c r="L6" s="76" t="s">
        <v>408</v>
      </c>
      <c r="M6"/>
    </row>
    <row r="7" spans="1:13" x14ac:dyDescent="0.35">
      <c r="A7" s="70" t="s">
        <v>200</v>
      </c>
      <c r="B7" s="70" t="s">
        <v>387</v>
      </c>
      <c r="C7" s="71" t="s">
        <v>30</v>
      </c>
      <c r="E7" s="73" t="s">
        <v>255</v>
      </c>
      <c r="F7" s="73" t="s">
        <v>400</v>
      </c>
      <c r="K7" s="76" t="s">
        <v>228</v>
      </c>
      <c r="L7" s="76" t="s">
        <v>420</v>
      </c>
      <c r="M7"/>
    </row>
    <row r="8" spans="1:13" x14ac:dyDescent="0.35">
      <c r="A8" s="70" t="s">
        <v>201</v>
      </c>
      <c r="B8" s="70" t="s">
        <v>416</v>
      </c>
      <c r="C8" s="71" t="s">
        <v>31</v>
      </c>
      <c r="K8" s="76" t="s">
        <v>229</v>
      </c>
      <c r="L8" s="76" t="s">
        <v>421</v>
      </c>
      <c r="M8"/>
    </row>
    <row r="9" spans="1:13" x14ac:dyDescent="0.35">
      <c r="A9" s="70" t="s">
        <v>225</v>
      </c>
      <c r="B9" s="70" t="s">
        <v>367</v>
      </c>
      <c r="C9" s="71" t="s">
        <v>32</v>
      </c>
      <c r="K9" s="76" t="s">
        <v>230</v>
      </c>
      <c r="L9" s="76" t="s">
        <v>422</v>
      </c>
      <c r="M9"/>
    </row>
    <row r="10" spans="1:13" x14ac:dyDescent="0.35">
      <c r="A10" s="70" t="s">
        <v>6</v>
      </c>
      <c r="B10" s="70" t="s">
        <v>366</v>
      </c>
      <c r="C10" s="71" t="s">
        <v>33</v>
      </c>
      <c r="K10" s="76" t="s">
        <v>231</v>
      </c>
      <c r="L10" s="76" t="s">
        <v>423</v>
      </c>
      <c r="M10"/>
    </row>
    <row r="11" spans="1:13" x14ac:dyDescent="0.35">
      <c r="A11" s="70" t="s">
        <v>202</v>
      </c>
      <c r="B11" s="70" t="s">
        <v>386</v>
      </c>
      <c r="C11" s="71" t="s">
        <v>34</v>
      </c>
      <c r="K11" s="76" t="s">
        <v>232</v>
      </c>
      <c r="L11" s="76" t="s">
        <v>424</v>
      </c>
      <c r="M11"/>
    </row>
    <row r="12" spans="1:13" x14ac:dyDescent="0.35">
      <c r="A12" s="70" t="s">
        <v>218</v>
      </c>
      <c r="B12" s="70" t="s">
        <v>390</v>
      </c>
      <c r="C12" s="71" t="s">
        <v>35</v>
      </c>
      <c r="K12" s="76" t="s">
        <v>233</v>
      </c>
      <c r="L12" s="76" t="s">
        <v>425</v>
      </c>
      <c r="M12"/>
    </row>
    <row r="13" spans="1:13" x14ac:dyDescent="0.35">
      <c r="A13" s="70" t="s">
        <v>1</v>
      </c>
      <c r="B13" s="70" t="s">
        <v>364</v>
      </c>
      <c r="C13" s="71" t="s">
        <v>36</v>
      </c>
      <c r="K13" s="76" t="s">
        <v>234</v>
      </c>
      <c r="L13" s="76" t="s">
        <v>426</v>
      </c>
      <c r="M13"/>
    </row>
    <row r="14" spans="1:13" x14ac:dyDescent="0.35">
      <c r="A14" s="70" t="s">
        <v>219</v>
      </c>
      <c r="B14" s="70" t="s">
        <v>376</v>
      </c>
      <c r="C14" s="71" t="s">
        <v>37</v>
      </c>
      <c r="K14" s="76" t="s">
        <v>235</v>
      </c>
      <c r="L14" s="76" t="s">
        <v>427</v>
      </c>
      <c r="M14"/>
    </row>
    <row r="15" spans="1:13" x14ac:dyDescent="0.35">
      <c r="A15" s="70" t="s">
        <v>247</v>
      </c>
      <c r="B15" s="70" t="s">
        <v>385</v>
      </c>
      <c r="C15" s="71" t="s">
        <v>38</v>
      </c>
      <c r="K15" s="76" t="s">
        <v>236</v>
      </c>
      <c r="L15" s="76" t="s">
        <v>428</v>
      </c>
      <c r="M15"/>
    </row>
    <row r="16" spans="1:13" x14ac:dyDescent="0.35">
      <c r="A16" s="70" t="s">
        <v>203</v>
      </c>
      <c r="B16" s="70" t="s">
        <v>393</v>
      </c>
      <c r="C16" s="71" t="s">
        <v>39</v>
      </c>
      <c r="K16" s="76" t="s">
        <v>237</v>
      </c>
      <c r="L16" s="76" t="s">
        <v>429</v>
      </c>
      <c r="M16"/>
    </row>
    <row r="17" spans="1:13" x14ac:dyDescent="0.35">
      <c r="A17" s="70" t="s">
        <v>217</v>
      </c>
      <c r="B17" s="70" t="s">
        <v>373</v>
      </c>
      <c r="C17" s="71" t="s">
        <v>40</v>
      </c>
      <c r="K17" s="76" t="s">
        <v>238</v>
      </c>
      <c r="M17"/>
    </row>
    <row r="18" spans="1:13" x14ac:dyDescent="0.35">
      <c r="A18" s="70" t="s">
        <v>216</v>
      </c>
      <c r="B18" s="70" t="s">
        <v>372</v>
      </c>
      <c r="C18" s="71" t="s">
        <v>41</v>
      </c>
      <c r="K18" s="76" t="s">
        <v>240</v>
      </c>
      <c r="L18" s="76" t="s">
        <v>418</v>
      </c>
      <c r="M18"/>
    </row>
    <row r="19" spans="1:13" x14ac:dyDescent="0.35">
      <c r="A19" s="70" t="s">
        <v>204</v>
      </c>
      <c r="B19" s="70" t="s">
        <v>384</v>
      </c>
      <c r="C19" s="71" t="s">
        <v>42</v>
      </c>
      <c r="K19" s="76" t="s">
        <v>241</v>
      </c>
      <c r="L19" s="76" t="s">
        <v>430</v>
      </c>
      <c r="M19"/>
    </row>
    <row r="20" spans="1:13" x14ac:dyDescent="0.35">
      <c r="A20" s="70" t="s">
        <v>215</v>
      </c>
      <c r="B20" s="70" t="s">
        <v>389</v>
      </c>
      <c r="C20" s="71" t="s">
        <v>43</v>
      </c>
      <c r="K20" s="76" t="s">
        <v>242</v>
      </c>
      <c r="M20"/>
    </row>
    <row r="21" spans="1:13" x14ac:dyDescent="0.35">
      <c r="A21" s="70" t="s">
        <v>243</v>
      </c>
      <c r="B21" s="70" t="s">
        <v>378</v>
      </c>
      <c r="C21" s="71" t="s">
        <v>44</v>
      </c>
      <c r="K21" s="76" t="s">
        <v>246</v>
      </c>
      <c r="L21" s="76" t="s">
        <v>431</v>
      </c>
      <c r="M21"/>
    </row>
    <row r="22" spans="1:13" x14ac:dyDescent="0.35">
      <c r="A22" s="70" t="s">
        <v>205</v>
      </c>
      <c r="B22" s="70" t="s">
        <v>391</v>
      </c>
      <c r="C22" s="71" t="s">
        <v>511</v>
      </c>
      <c r="M22"/>
    </row>
    <row r="23" spans="1:13" x14ac:dyDescent="0.35">
      <c r="A23" s="70" t="s">
        <v>7</v>
      </c>
      <c r="B23" s="70" t="s">
        <v>365</v>
      </c>
      <c r="C23" s="71" t="s">
        <v>95</v>
      </c>
      <c r="M23"/>
    </row>
    <row r="24" spans="1:13" x14ac:dyDescent="0.35">
      <c r="A24" s="70" t="s">
        <v>249</v>
      </c>
      <c r="B24" s="70" t="s">
        <v>394</v>
      </c>
      <c r="C24" s="71" t="s">
        <v>45</v>
      </c>
      <c r="M24"/>
    </row>
    <row r="25" spans="1:13" x14ac:dyDescent="0.35">
      <c r="A25" s="70" t="s">
        <v>214</v>
      </c>
      <c r="B25" s="70" t="s">
        <v>414</v>
      </c>
      <c r="C25" s="71" t="s">
        <v>47</v>
      </c>
      <c r="M25"/>
    </row>
    <row r="26" spans="1:13" x14ac:dyDescent="0.35">
      <c r="A26" s="70" t="s">
        <v>245</v>
      </c>
      <c r="B26" s="70" t="s">
        <v>381</v>
      </c>
      <c r="C26" s="71" t="s">
        <v>46</v>
      </c>
      <c r="M26"/>
    </row>
    <row r="27" spans="1:13" x14ac:dyDescent="0.35">
      <c r="A27" s="70" t="s">
        <v>213</v>
      </c>
      <c r="B27" s="70" t="s">
        <v>392</v>
      </c>
      <c r="C27" s="71" t="s">
        <v>48</v>
      </c>
    </row>
    <row r="28" spans="1:13" x14ac:dyDescent="0.35">
      <c r="A28" s="70" t="s">
        <v>248</v>
      </c>
      <c r="B28" s="70" t="s">
        <v>415</v>
      </c>
      <c r="C28" s="71" t="s">
        <v>49</v>
      </c>
    </row>
    <row r="29" spans="1:13" x14ac:dyDescent="0.35">
      <c r="A29" s="70" t="s">
        <v>0</v>
      </c>
      <c r="B29" s="70" t="s">
        <v>167</v>
      </c>
      <c r="C29" s="71" t="s">
        <v>50</v>
      </c>
    </row>
    <row r="30" spans="1:13" x14ac:dyDescent="0.35">
      <c r="A30" s="70" t="s">
        <v>244</v>
      </c>
      <c r="B30" s="70" t="s">
        <v>380</v>
      </c>
      <c r="C30" s="71" t="s">
        <v>51</v>
      </c>
    </row>
    <row r="31" spans="1:13" x14ac:dyDescent="0.35">
      <c r="A31" s="70" t="s">
        <v>250</v>
      </c>
      <c r="B31" s="70" t="s">
        <v>395</v>
      </c>
      <c r="C31" s="71" t="s">
        <v>512</v>
      </c>
    </row>
    <row r="32" spans="1:13" x14ac:dyDescent="0.35">
      <c r="A32" s="70" t="s">
        <v>212</v>
      </c>
      <c r="B32" s="70" t="s">
        <v>388</v>
      </c>
      <c r="C32" s="71" t="s">
        <v>52</v>
      </c>
    </row>
    <row r="33" spans="1:3" x14ac:dyDescent="0.35">
      <c r="A33" s="70" t="s">
        <v>206</v>
      </c>
      <c r="B33" s="70" t="s">
        <v>382</v>
      </c>
      <c r="C33" s="71" t="s">
        <v>71</v>
      </c>
    </row>
    <row r="34" spans="1:3" x14ac:dyDescent="0.35">
      <c r="A34" s="70" t="s">
        <v>239</v>
      </c>
      <c r="B34" s="70" t="s">
        <v>100</v>
      </c>
      <c r="C34" s="71" t="s">
        <v>432</v>
      </c>
    </row>
    <row r="35" spans="1:3" x14ac:dyDescent="0.35">
      <c r="A35" s="70" t="s">
        <v>210</v>
      </c>
      <c r="B35" s="70" t="s">
        <v>375</v>
      </c>
      <c r="C35" s="71" t="s">
        <v>53</v>
      </c>
    </row>
    <row r="36" spans="1:3" x14ac:dyDescent="0.35">
      <c r="A36" s="70" t="s">
        <v>209</v>
      </c>
      <c r="B36" s="70" t="s">
        <v>374</v>
      </c>
      <c r="C36" s="71" t="s">
        <v>65</v>
      </c>
    </row>
    <row r="37" spans="1:3" x14ac:dyDescent="0.35">
      <c r="A37" s="70" t="s">
        <v>5</v>
      </c>
      <c r="B37" s="70" t="s">
        <v>370</v>
      </c>
      <c r="C37" s="71" t="s">
        <v>54</v>
      </c>
    </row>
    <row r="38" spans="1:3" x14ac:dyDescent="0.35">
      <c r="A38" s="70" t="s">
        <v>2</v>
      </c>
      <c r="B38" s="70" t="s">
        <v>379</v>
      </c>
      <c r="C38" s="71" t="s">
        <v>60</v>
      </c>
    </row>
    <row r="39" spans="1:3" x14ac:dyDescent="0.35">
      <c r="A39" s="70" t="s">
        <v>8</v>
      </c>
      <c r="B39" s="70" t="s">
        <v>377</v>
      </c>
      <c r="C39" s="71" t="s">
        <v>55</v>
      </c>
    </row>
    <row r="40" spans="1:3" x14ac:dyDescent="0.35">
      <c r="A40" s="70" t="s">
        <v>25</v>
      </c>
      <c r="B40" s="70" t="s">
        <v>383</v>
      </c>
      <c r="C40" s="77" t="s">
        <v>56</v>
      </c>
    </row>
    <row r="41" spans="1:3" x14ac:dyDescent="0.35">
      <c r="A41" s="70" t="s">
        <v>207</v>
      </c>
      <c r="B41" s="70" t="s">
        <v>369</v>
      </c>
      <c r="C41" s="101" t="s">
        <v>57</v>
      </c>
    </row>
    <row r="42" spans="1:3" x14ac:dyDescent="0.35">
      <c r="A42" s="70" t="s">
        <v>211</v>
      </c>
      <c r="B42" s="70" t="s">
        <v>74</v>
      </c>
      <c r="C42" s="101" t="s">
        <v>58</v>
      </c>
    </row>
    <row r="43" spans="1:3" x14ac:dyDescent="0.35">
      <c r="A43" s="70" t="s">
        <v>4</v>
      </c>
      <c r="B43" s="70" t="s">
        <v>153</v>
      </c>
    </row>
    <row r="44" spans="1:3" x14ac:dyDescent="0.35">
      <c r="A44" s="70" t="s">
        <v>208</v>
      </c>
      <c r="B44" s="70" t="s">
        <v>368</v>
      </c>
    </row>
    <row r="45" spans="1:3" x14ac:dyDescent="0.35">
      <c r="A45" s="70" t="s">
        <v>251</v>
      </c>
      <c r="B45" s="70" t="s">
        <v>396</v>
      </c>
    </row>
    <row r="46" spans="1:3" x14ac:dyDescent="0.35">
      <c r="A46" s="70" t="s">
        <v>548</v>
      </c>
      <c r="B46" s="196" t="s">
        <v>547</v>
      </c>
    </row>
    <row r="47" spans="1:3" x14ac:dyDescent="0.35">
      <c r="A47" s="197" t="s">
        <v>225</v>
      </c>
      <c r="B47" s="196" t="s">
        <v>549</v>
      </c>
    </row>
    <row r="48" spans="1:3" x14ac:dyDescent="0.35">
      <c r="A48" s="197" t="s">
        <v>552</v>
      </c>
      <c r="B48" s="196" t="s">
        <v>551</v>
      </c>
    </row>
  </sheetData>
  <conditionalFormatting sqref="K2:K24 K26">
    <cfRule type="duplicateValues" dxfId="4" priority="8"/>
  </conditionalFormatting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29200-F37F-4FF2-BE13-C475FA1F216B}">
  <sheetPr codeName="Sheet7"/>
  <dimension ref="A1:L19"/>
  <sheetViews>
    <sheetView workbookViewId="0">
      <selection activeCell="E29" sqref="E29"/>
    </sheetView>
  </sheetViews>
  <sheetFormatPr defaultRowHeight="15" x14ac:dyDescent="0.25"/>
  <cols>
    <col min="1" max="1" width="9.28515625" bestFit="1" customWidth="1"/>
    <col min="2" max="2" width="10.7109375" bestFit="1" customWidth="1"/>
    <col min="3" max="3" width="38" bestFit="1" customWidth="1"/>
    <col min="4" max="4" width="9.28515625" bestFit="1" customWidth="1"/>
    <col min="6" max="7" width="9.28515625" bestFit="1" customWidth="1"/>
    <col min="12" max="12" width="32.5703125" bestFit="1" customWidth="1"/>
  </cols>
  <sheetData>
    <row r="1" spans="1:12" x14ac:dyDescent="0.25">
      <c r="A1" s="15"/>
      <c r="B1" s="16"/>
      <c r="C1" s="15" t="s">
        <v>265</v>
      </c>
      <c r="D1" s="15"/>
      <c r="E1" s="15"/>
      <c r="F1" s="15"/>
      <c r="G1" s="15"/>
      <c r="H1" s="15"/>
      <c r="I1" s="15"/>
      <c r="J1" s="15"/>
      <c r="K1" s="15"/>
      <c r="L1" s="15"/>
    </row>
    <row r="2" spans="1:12" x14ac:dyDescent="0.25">
      <c r="A2" s="17" t="s">
        <v>266</v>
      </c>
      <c r="B2" s="18" t="s">
        <v>267</v>
      </c>
      <c r="C2" s="19" t="s">
        <v>268</v>
      </c>
      <c r="D2" s="19" t="s">
        <v>269</v>
      </c>
      <c r="E2" s="19" t="s">
        <v>270</v>
      </c>
      <c r="F2" s="19" t="s">
        <v>271</v>
      </c>
      <c r="G2" s="19" t="s">
        <v>272</v>
      </c>
      <c r="H2" s="19" t="s">
        <v>273</v>
      </c>
      <c r="I2" s="19" t="s">
        <v>274</v>
      </c>
      <c r="J2" s="19" t="s">
        <v>275</v>
      </c>
      <c r="K2" s="19" t="s">
        <v>276</v>
      </c>
      <c r="L2" s="19"/>
    </row>
    <row r="3" spans="1:12" x14ac:dyDescent="0.25">
      <c r="A3" s="20"/>
      <c r="B3" s="21"/>
      <c r="C3" s="20"/>
      <c r="D3" s="20"/>
      <c r="E3" s="20"/>
      <c r="F3" s="20"/>
      <c r="G3" s="22"/>
      <c r="H3" s="22"/>
      <c r="I3" s="22"/>
      <c r="J3" s="20"/>
      <c r="K3" s="20"/>
      <c r="L3" s="20"/>
    </row>
    <row r="4" spans="1:12" x14ac:dyDescent="0.25">
      <c r="A4" s="23">
        <v>1001</v>
      </c>
      <c r="B4" s="24"/>
      <c r="C4" s="25" t="s">
        <v>277</v>
      </c>
      <c r="D4" s="25">
        <v>2019</v>
      </c>
      <c r="E4" s="25" t="s">
        <v>278</v>
      </c>
      <c r="F4" s="25"/>
      <c r="G4" s="25">
        <v>2950</v>
      </c>
      <c r="H4" s="26"/>
      <c r="I4" s="25"/>
      <c r="J4" s="25" t="s">
        <v>279</v>
      </c>
      <c r="K4" s="25" t="s">
        <v>81</v>
      </c>
      <c r="L4" s="27" t="s">
        <v>280</v>
      </c>
    </row>
    <row r="5" spans="1:12" x14ac:dyDescent="0.25">
      <c r="A5" s="23">
        <v>1004</v>
      </c>
      <c r="B5" s="24"/>
      <c r="C5" s="25" t="s">
        <v>281</v>
      </c>
      <c r="D5" s="25">
        <v>2019</v>
      </c>
      <c r="E5" s="25" t="s">
        <v>278</v>
      </c>
      <c r="F5" s="25"/>
      <c r="G5" s="25">
        <v>535</v>
      </c>
      <c r="H5" s="26"/>
      <c r="I5" s="25"/>
      <c r="J5" s="25" t="s">
        <v>279</v>
      </c>
      <c r="K5" s="25" t="s">
        <v>81</v>
      </c>
      <c r="L5" s="28"/>
    </row>
    <row r="6" spans="1:12" x14ac:dyDescent="0.25">
      <c r="A6" s="29">
        <v>1009</v>
      </c>
      <c r="B6" s="30"/>
      <c r="C6" s="31" t="s">
        <v>282</v>
      </c>
      <c r="D6" s="31">
        <v>2019</v>
      </c>
      <c r="E6" s="31" t="s">
        <v>278</v>
      </c>
      <c r="F6" s="31">
        <v>22</v>
      </c>
      <c r="G6" s="31">
        <v>150</v>
      </c>
      <c r="H6" s="31"/>
      <c r="I6" s="31"/>
      <c r="J6" s="31"/>
      <c r="K6" s="31" t="s">
        <v>81</v>
      </c>
      <c r="L6" s="32"/>
    </row>
    <row r="7" spans="1:12" x14ac:dyDescent="0.25">
      <c r="A7" s="23">
        <v>1010</v>
      </c>
      <c r="B7" s="33"/>
      <c r="C7" s="34" t="s">
        <v>283</v>
      </c>
      <c r="D7" s="34">
        <v>2019</v>
      </c>
      <c r="E7" s="34" t="s">
        <v>278</v>
      </c>
      <c r="F7" s="34"/>
      <c r="G7" s="34">
        <v>725</v>
      </c>
      <c r="H7" s="35"/>
      <c r="I7" s="34"/>
      <c r="J7" s="34"/>
      <c r="K7" s="34" t="s">
        <v>81</v>
      </c>
      <c r="L7" s="36"/>
    </row>
    <row r="8" spans="1:12" x14ac:dyDescent="0.25">
      <c r="A8" s="23">
        <v>1033</v>
      </c>
      <c r="B8" s="24"/>
      <c r="C8" s="25" t="s">
        <v>284</v>
      </c>
      <c r="D8" s="25">
        <v>2020</v>
      </c>
      <c r="E8" s="25" t="s">
        <v>117</v>
      </c>
      <c r="F8" s="25"/>
      <c r="G8" s="25">
        <v>1135</v>
      </c>
      <c r="H8" s="26"/>
      <c r="I8" s="25"/>
      <c r="J8" s="25"/>
      <c r="K8" s="25" t="s">
        <v>81</v>
      </c>
      <c r="L8" s="28"/>
    </row>
    <row r="9" spans="1:12" x14ac:dyDescent="0.25">
      <c r="A9" s="23">
        <v>1100</v>
      </c>
      <c r="B9" s="30">
        <v>44685</v>
      </c>
      <c r="C9" s="31" t="s">
        <v>285</v>
      </c>
      <c r="D9" s="31">
        <v>2021</v>
      </c>
      <c r="E9" s="31" t="s">
        <v>278</v>
      </c>
      <c r="F9" s="31"/>
      <c r="G9" s="31">
        <v>240</v>
      </c>
      <c r="H9" s="31"/>
      <c r="I9" s="31"/>
      <c r="J9" s="31"/>
      <c r="K9" s="31" t="s">
        <v>81</v>
      </c>
      <c r="L9" s="37"/>
    </row>
    <row r="10" spans="1:12" x14ac:dyDescent="0.25">
      <c r="A10" s="23">
        <v>1101</v>
      </c>
      <c r="B10" s="30">
        <v>44684</v>
      </c>
      <c r="C10" s="31" t="s">
        <v>286</v>
      </c>
      <c r="D10" s="31">
        <v>2021</v>
      </c>
      <c r="E10" s="38" t="s">
        <v>278</v>
      </c>
      <c r="F10" s="31"/>
      <c r="G10" s="31">
        <v>260</v>
      </c>
      <c r="H10" s="31"/>
      <c r="I10" s="31"/>
      <c r="J10" s="31"/>
      <c r="K10" s="38" t="s">
        <v>81</v>
      </c>
      <c r="L10" s="37"/>
    </row>
    <row r="11" spans="1:12" x14ac:dyDescent="0.25">
      <c r="A11" s="29">
        <v>1114</v>
      </c>
      <c r="B11" s="30">
        <v>44776</v>
      </c>
      <c r="C11" s="31" t="s">
        <v>287</v>
      </c>
      <c r="D11" s="31">
        <v>2022</v>
      </c>
      <c r="E11" s="31" t="s">
        <v>278</v>
      </c>
      <c r="F11" s="31">
        <v>32</v>
      </c>
      <c r="G11" s="31">
        <v>550</v>
      </c>
      <c r="H11" s="31"/>
      <c r="I11" s="31"/>
      <c r="J11" s="31"/>
      <c r="K11" s="31" t="s">
        <v>81</v>
      </c>
      <c r="L11" s="37"/>
    </row>
    <row r="12" spans="1:12" x14ac:dyDescent="0.25">
      <c r="A12" s="29">
        <v>1122</v>
      </c>
      <c r="B12" s="39">
        <v>44851</v>
      </c>
      <c r="C12" s="38" t="s">
        <v>288</v>
      </c>
      <c r="D12" s="38">
        <v>2021</v>
      </c>
      <c r="E12" s="38" t="s">
        <v>278</v>
      </c>
      <c r="F12" s="38">
        <v>17</v>
      </c>
      <c r="G12" s="38">
        <v>340</v>
      </c>
      <c r="H12" s="38"/>
      <c r="I12" s="38"/>
      <c r="J12" s="38"/>
      <c r="K12" s="38" t="s">
        <v>81</v>
      </c>
      <c r="L12" s="40"/>
    </row>
    <row r="13" spans="1:12" x14ac:dyDescent="0.25">
      <c r="A13" s="23">
        <v>1123</v>
      </c>
      <c r="B13" s="39">
        <v>44851</v>
      </c>
      <c r="C13" s="38" t="s">
        <v>289</v>
      </c>
      <c r="D13" s="38">
        <v>2021</v>
      </c>
      <c r="E13" s="38" t="s">
        <v>278</v>
      </c>
      <c r="F13" s="38"/>
      <c r="G13" s="38">
        <v>654</v>
      </c>
      <c r="H13" s="38"/>
      <c r="I13" s="38"/>
      <c r="J13" s="38"/>
      <c r="K13" s="38" t="s">
        <v>81</v>
      </c>
      <c r="L13" s="40"/>
    </row>
    <row r="14" spans="1:12" x14ac:dyDescent="0.25">
      <c r="A14" s="29">
        <v>1126</v>
      </c>
      <c r="B14" s="41">
        <v>44888</v>
      </c>
      <c r="C14" s="38" t="s">
        <v>290</v>
      </c>
      <c r="D14" s="31">
        <v>2021</v>
      </c>
      <c r="E14" s="38" t="s">
        <v>278</v>
      </c>
      <c r="F14" s="38"/>
      <c r="G14" s="38">
        <v>1125</v>
      </c>
      <c r="H14" s="38"/>
      <c r="I14" s="38"/>
      <c r="J14" s="38"/>
      <c r="K14" s="38" t="s">
        <v>81</v>
      </c>
      <c r="L14" s="42" t="s">
        <v>291</v>
      </c>
    </row>
    <row r="15" spans="1:12" x14ac:dyDescent="0.25">
      <c r="A15" s="29">
        <v>1128</v>
      </c>
      <c r="B15" s="41">
        <v>44888</v>
      </c>
      <c r="C15" s="38" t="s">
        <v>292</v>
      </c>
      <c r="D15" s="31">
        <v>2021</v>
      </c>
      <c r="E15" s="38" t="s">
        <v>278</v>
      </c>
      <c r="F15" s="38"/>
      <c r="G15" s="38">
        <v>1330</v>
      </c>
      <c r="H15" s="38"/>
      <c r="I15" s="38"/>
      <c r="J15" s="38"/>
      <c r="K15" s="38" t="s">
        <v>81</v>
      </c>
      <c r="L15" s="40"/>
    </row>
    <row r="16" spans="1:12" x14ac:dyDescent="0.25">
      <c r="A16" s="23">
        <v>1129</v>
      </c>
      <c r="B16" s="41">
        <v>44985</v>
      </c>
      <c r="C16" s="39" t="s">
        <v>293</v>
      </c>
      <c r="D16" s="38">
        <v>2022</v>
      </c>
      <c r="E16" s="38"/>
      <c r="F16" s="38"/>
      <c r="G16" s="38">
        <v>3780</v>
      </c>
      <c r="H16" s="38"/>
      <c r="I16" s="38"/>
      <c r="J16" s="38"/>
      <c r="K16" s="38" t="s">
        <v>78</v>
      </c>
      <c r="L16" s="40"/>
    </row>
    <row r="17" spans="1:12" x14ac:dyDescent="0.25">
      <c r="A17" s="38">
        <v>1131</v>
      </c>
      <c r="B17" s="41">
        <v>45651</v>
      </c>
      <c r="C17" s="38" t="s">
        <v>294</v>
      </c>
      <c r="D17" s="38"/>
      <c r="E17" s="38"/>
      <c r="F17" s="38">
        <v>20</v>
      </c>
      <c r="G17" s="38">
        <v>110</v>
      </c>
      <c r="H17" s="38"/>
      <c r="I17" s="38"/>
      <c r="J17" s="38"/>
      <c r="K17" s="31" t="s">
        <v>81</v>
      </c>
      <c r="L17" s="38"/>
    </row>
    <row r="18" spans="1:12" x14ac:dyDescent="0.25">
      <c r="A18" s="38">
        <v>1132</v>
      </c>
      <c r="B18" s="41">
        <v>45651</v>
      </c>
      <c r="C18" s="38" t="s">
        <v>295</v>
      </c>
      <c r="D18" s="38"/>
      <c r="E18" s="38"/>
      <c r="F18" s="38">
        <v>150</v>
      </c>
      <c r="G18" s="38">
        <v>2500</v>
      </c>
      <c r="H18" s="38"/>
      <c r="I18" s="38"/>
      <c r="J18" s="38"/>
      <c r="K18" s="31" t="s">
        <v>81</v>
      </c>
      <c r="L18" s="38"/>
    </row>
    <row r="19" spans="1:12" x14ac:dyDescent="0.25">
      <c r="A19" s="38">
        <v>1133</v>
      </c>
      <c r="B19" s="41">
        <v>45651</v>
      </c>
      <c r="C19" s="38" t="s">
        <v>296</v>
      </c>
      <c r="D19" s="38"/>
      <c r="E19" s="38"/>
      <c r="F19" s="38">
        <v>30</v>
      </c>
      <c r="G19" s="38">
        <v>250</v>
      </c>
      <c r="H19" s="38"/>
      <c r="I19" s="38"/>
      <c r="J19" s="38"/>
      <c r="K19" s="31" t="s">
        <v>81</v>
      </c>
      <c r="L19" s="3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F8A4B-3D7C-4100-ACB2-641C19E0B5EE}">
  <sheetPr codeName="Sheet8"/>
  <dimension ref="A1:L76"/>
  <sheetViews>
    <sheetView topLeftCell="A51" workbookViewId="0">
      <selection activeCell="E62" sqref="E62"/>
    </sheetView>
  </sheetViews>
  <sheetFormatPr defaultRowHeight="15" x14ac:dyDescent="0.25"/>
  <cols>
    <col min="2" max="2" width="10.7109375" bestFit="1" customWidth="1"/>
    <col min="3" max="3" width="62.28515625" bestFit="1" customWidth="1"/>
    <col min="8" max="8" width="15.28515625" customWidth="1"/>
    <col min="9" max="9" width="79.28515625" customWidth="1"/>
    <col min="10" max="10" width="9.42578125" bestFit="1" customWidth="1"/>
    <col min="11" max="11" width="45.140625" customWidth="1"/>
  </cols>
  <sheetData>
    <row r="1" spans="1:12" ht="21" x14ac:dyDescent="0.25">
      <c r="A1" s="211" t="s">
        <v>297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</row>
    <row r="2" spans="1:12" ht="19.5" x14ac:dyDescent="0.25">
      <c r="A2" s="43" t="s">
        <v>266</v>
      </c>
      <c r="B2" s="44" t="s">
        <v>267</v>
      </c>
      <c r="C2" s="44" t="s">
        <v>268</v>
      </c>
      <c r="D2" s="44" t="s">
        <v>270</v>
      </c>
      <c r="E2" s="45" t="s">
        <v>271</v>
      </c>
      <c r="F2" s="45" t="s">
        <v>272</v>
      </c>
      <c r="G2" s="44" t="s">
        <v>298</v>
      </c>
      <c r="H2" s="44" t="s">
        <v>274</v>
      </c>
      <c r="I2" s="44" t="s">
        <v>275</v>
      </c>
      <c r="J2" s="45" t="s">
        <v>276</v>
      </c>
      <c r="K2" s="44" t="s">
        <v>299</v>
      </c>
      <c r="L2" s="44" t="s">
        <v>300</v>
      </c>
    </row>
    <row r="3" spans="1:12" ht="18.75" x14ac:dyDescent="0.25">
      <c r="A3" s="161">
        <v>56</v>
      </c>
      <c r="B3" s="162">
        <v>44306</v>
      </c>
      <c r="C3" s="163" t="s">
        <v>301</v>
      </c>
      <c r="D3" s="163"/>
      <c r="E3" s="164"/>
      <c r="F3" s="164"/>
      <c r="G3" s="163"/>
      <c r="H3" s="165">
        <v>1615</v>
      </c>
      <c r="I3" s="165"/>
      <c r="J3" s="165" t="s">
        <v>302</v>
      </c>
      <c r="K3" s="165"/>
      <c r="L3" s="47"/>
    </row>
    <row r="4" spans="1:12" ht="18.75" x14ac:dyDescent="0.25">
      <c r="A4" s="161">
        <v>58</v>
      </c>
      <c r="B4" s="162">
        <v>44356</v>
      </c>
      <c r="C4" s="166" t="s">
        <v>303</v>
      </c>
      <c r="D4" s="166"/>
      <c r="E4" s="165"/>
      <c r="F4" s="165"/>
      <c r="G4" s="166"/>
      <c r="H4" s="165">
        <v>370</v>
      </c>
      <c r="I4" s="165"/>
      <c r="J4" s="165" t="s">
        <v>302</v>
      </c>
      <c r="K4" s="165"/>
      <c r="L4" s="47"/>
    </row>
    <row r="5" spans="1:12" ht="18.75" x14ac:dyDescent="0.25">
      <c r="A5" s="161">
        <v>59</v>
      </c>
      <c r="B5" s="162">
        <v>44356</v>
      </c>
      <c r="C5" s="166" t="s">
        <v>304</v>
      </c>
      <c r="D5" s="166"/>
      <c r="E5" s="165"/>
      <c r="F5" s="165"/>
      <c r="G5" s="166"/>
      <c r="H5" s="165">
        <v>663</v>
      </c>
      <c r="I5" s="165"/>
      <c r="J5" s="165" t="s">
        <v>302</v>
      </c>
      <c r="K5" s="165"/>
      <c r="L5" s="47"/>
    </row>
    <row r="6" spans="1:12" ht="18.75" x14ac:dyDescent="0.25">
      <c r="A6" s="161">
        <v>61</v>
      </c>
      <c r="B6" s="162">
        <v>44377</v>
      </c>
      <c r="C6" s="166" t="s">
        <v>305</v>
      </c>
      <c r="D6" s="166"/>
      <c r="E6" s="165"/>
      <c r="F6" s="165"/>
      <c r="G6" s="166"/>
      <c r="H6" s="165">
        <v>1870</v>
      </c>
      <c r="I6" s="165"/>
      <c r="J6" s="165" t="s">
        <v>306</v>
      </c>
      <c r="K6" s="165"/>
      <c r="L6" s="47"/>
    </row>
    <row r="7" spans="1:12" ht="15.75" x14ac:dyDescent="0.25">
      <c r="A7" s="51">
        <v>116</v>
      </c>
      <c r="B7" s="52">
        <v>44899</v>
      </c>
      <c r="C7" s="53" t="s">
        <v>442</v>
      </c>
      <c r="D7" s="53" t="s">
        <v>278</v>
      </c>
      <c r="E7" s="54">
        <v>106</v>
      </c>
      <c r="F7" s="54">
        <v>1280</v>
      </c>
      <c r="G7" s="53">
        <v>58.5</v>
      </c>
      <c r="H7" s="53">
        <v>748</v>
      </c>
      <c r="I7" s="53" t="s">
        <v>443</v>
      </c>
      <c r="J7" s="56" t="s">
        <v>83</v>
      </c>
      <c r="K7" s="53" t="s">
        <v>444</v>
      </c>
      <c r="L7" s="53"/>
    </row>
    <row r="8" spans="1:12" ht="15.75" x14ac:dyDescent="0.25">
      <c r="A8" s="51">
        <v>117</v>
      </c>
      <c r="B8" s="52">
        <v>44899</v>
      </c>
      <c r="C8" s="53" t="s">
        <v>445</v>
      </c>
      <c r="D8" s="53" t="s">
        <v>278</v>
      </c>
      <c r="E8" s="54">
        <v>66</v>
      </c>
      <c r="F8" s="54">
        <v>797</v>
      </c>
      <c r="G8" s="53">
        <v>59</v>
      </c>
      <c r="H8" s="53">
        <v>470</v>
      </c>
      <c r="I8" s="53" t="s">
        <v>443</v>
      </c>
      <c r="J8" s="56" t="s">
        <v>83</v>
      </c>
      <c r="K8" s="53" t="s">
        <v>444</v>
      </c>
      <c r="L8" s="53"/>
    </row>
    <row r="9" spans="1:12" ht="15.75" x14ac:dyDescent="0.25">
      <c r="A9" s="51">
        <v>132</v>
      </c>
      <c r="B9" s="52">
        <v>45069</v>
      </c>
      <c r="C9" s="53" t="s">
        <v>307</v>
      </c>
      <c r="D9" s="53"/>
      <c r="E9" s="54">
        <v>154</v>
      </c>
      <c r="F9" s="54">
        <v>2517</v>
      </c>
      <c r="G9" s="53"/>
      <c r="H9" s="53"/>
      <c r="I9" s="53" t="s">
        <v>446</v>
      </c>
      <c r="J9" s="56" t="s">
        <v>308</v>
      </c>
      <c r="K9" s="53" t="s">
        <v>447</v>
      </c>
      <c r="L9" s="53"/>
    </row>
    <row r="10" spans="1:12" ht="15.75" x14ac:dyDescent="0.25">
      <c r="A10" s="161">
        <v>134</v>
      </c>
      <c r="B10" s="167">
        <v>45070</v>
      </c>
      <c r="C10" s="168" t="s">
        <v>309</v>
      </c>
      <c r="D10" s="168" t="s">
        <v>278</v>
      </c>
      <c r="E10" s="169"/>
      <c r="F10" s="169">
        <v>579</v>
      </c>
      <c r="G10" s="168"/>
      <c r="H10" s="168"/>
      <c r="I10" s="168"/>
      <c r="J10" s="170" t="s">
        <v>81</v>
      </c>
      <c r="K10" s="168"/>
      <c r="L10" s="168"/>
    </row>
    <row r="11" spans="1:12" ht="15.75" x14ac:dyDescent="0.25">
      <c r="A11" s="161">
        <v>135</v>
      </c>
      <c r="B11" s="167">
        <v>45070</v>
      </c>
      <c r="C11" s="168" t="s">
        <v>310</v>
      </c>
      <c r="D11" s="168" t="s">
        <v>278</v>
      </c>
      <c r="E11" s="169"/>
      <c r="F11" s="169">
        <v>706</v>
      </c>
      <c r="G11" s="168"/>
      <c r="H11" s="168"/>
      <c r="I11" s="168"/>
      <c r="J11" s="170" t="s">
        <v>81</v>
      </c>
      <c r="K11" s="168"/>
      <c r="L11" s="168"/>
    </row>
    <row r="12" spans="1:12" ht="15.75" x14ac:dyDescent="0.25">
      <c r="A12" s="161">
        <v>136</v>
      </c>
      <c r="B12" s="167">
        <v>45070</v>
      </c>
      <c r="C12" s="168" t="s">
        <v>311</v>
      </c>
      <c r="D12" s="168" t="s">
        <v>278</v>
      </c>
      <c r="E12" s="169"/>
      <c r="F12" s="169">
        <v>130</v>
      </c>
      <c r="G12" s="168"/>
      <c r="H12" s="168"/>
      <c r="I12" s="168"/>
      <c r="J12" s="170" t="s">
        <v>81</v>
      </c>
      <c r="K12" s="168"/>
      <c r="L12" s="168"/>
    </row>
    <row r="13" spans="1:12" ht="15.75" x14ac:dyDescent="0.25">
      <c r="A13" s="161">
        <v>137</v>
      </c>
      <c r="B13" s="167">
        <v>45070</v>
      </c>
      <c r="C13" s="168" t="s">
        <v>312</v>
      </c>
      <c r="D13" s="168" t="s">
        <v>278</v>
      </c>
      <c r="E13" s="169"/>
      <c r="F13" s="169">
        <v>77</v>
      </c>
      <c r="G13" s="168"/>
      <c r="H13" s="168"/>
      <c r="I13" s="168"/>
      <c r="J13" s="170" t="s">
        <v>81</v>
      </c>
      <c r="K13" s="168"/>
      <c r="L13" s="168"/>
    </row>
    <row r="14" spans="1:12" ht="15.75" x14ac:dyDescent="0.25">
      <c r="A14" s="51">
        <v>150</v>
      </c>
      <c r="B14" s="52">
        <v>45152</v>
      </c>
      <c r="C14" s="53" t="s">
        <v>448</v>
      </c>
      <c r="D14" s="53"/>
      <c r="E14" s="54">
        <v>144</v>
      </c>
      <c r="F14" s="54">
        <v>3370</v>
      </c>
      <c r="G14" s="55">
        <v>0.92</v>
      </c>
      <c r="H14" s="53">
        <v>3100</v>
      </c>
      <c r="I14" s="56" t="s">
        <v>449</v>
      </c>
      <c r="J14" s="56" t="s">
        <v>81</v>
      </c>
      <c r="K14" s="56" t="s">
        <v>450</v>
      </c>
      <c r="L14" s="53"/>
    </row>
    <row r="15" spans="1:12" ht="15.75" x14ac:dyDescent="0.25">
      <c r="A15" s="161">
        <v>151</v>
      </c>
      <c r="B15" s="167">
        <v>45153</v>
      </c>
      <c r="C15" s="171" t="s">
        <v>313</v>
      </c>
      <c r="D15" s="168"/>
      <c r="E15" s="169"/>
      <c r="F15" s="169">
        <v>400</v>
      </c>
      <c r="G15" s="172">
        <v>0.92</v>
      </c>
      <c r="H15" s="171">
        <v>368</v>
      </c>
      <c r="I15" s="168"/>
      <c r="J15" s="170" t="s">
        <v>81</v>
      </c>
      <c r="K15" s="168"/>
      <c r="L15" s="168"/>
    </row>
    <row r="16" spans="1:12" ht="15.75" x14ac:dyDescent="0.25">
      <c r="A16" s="161">
        <v>155</v>
      </c>
      <c r="B16" s="167">
        <v>45185</v>
      </c>
      <c r="C16" s="171" t="s">
        <v>314</v>
      </c>
      <c r="D16" s="168"/>
      <c r="E16" s="169"/>
      <c r="F16" s="169">
        <v>853</v>
      </c>
      <c r="G16" s="168"/>
      <c r="H16" s="168"/>
      <c r="I16" s="168"/>
      <c r="J16" s="170" t="s">
        <v>81</v>
      </c>
      <c r="K16" s="168"/>
      <c r="L16" s="168"/>
    </row>
    <row r="17" spans="1:12" s="191" customFormat="1" ht="15.75" x14ac:dyDescent="0.25">
      <c r="A17" s="186">
        <v>157</v>
      </c>
      <c r="B17" s="187">
        <v>45214</v>
      </c>
      <c r="C17" s="188" t="s">
        <v>315</v>
      </c>
      <c r="D17" s="188"/>
      <c r="E17" s="189"/>
      <c r="F17" s="189" t="s">
        <v>316</v>
      </c>
      <c r="G17" s="188"/>
      <c r="H17" s="188"/>
      <c r="I17" s="188" t="s">
        <v>542</v>
      </c>
      <c r="J17" s="190"/>
      <c r="K17" s="188"/>
      <c r="L17" s="188"/>
    </row>
    <row r="18" spans="1:12" ht="15.75" x14ac:dyDescent="0.25">
      <c r="A18" s="161">
        <v>159</v>
      </c>
      <c r="B18" s="167">
        <v>45232</v>
      </c>
      <c r="C18" s="171" t="s">
        <v>317</v>
      </c>
      <c r="D18" s="168"/>
      <c r="E18" s="169">
        <v>20</v>
      </c>
      <c r="F18" s="169">
        <v>400</v>
      </c>
      <c r="G18" s="168"/>
      <c r="H18" s="168"/>
      <c r="I18" s="168"/>
      <c r="J18" s="170" t="s">
        <v>78</v>
      </c>
      <c r="K18" s="168"/>
      <c r="L18" s="168"/>
    </row>
    <row r="19" spans="1:12" ht="15.75" x14ac:dyDescent="0.25">
      <c r="A19" s="51">
        <v>160</v>
      </c>
      <c r="B19" s="52">
        <v>45243</v>
      </c>
      <c r="C19" s="53" t="s">
        <v>451</v>
      </c>
      <c r="D19" s="53"/>
      <c r="E19" s="54">
        <v>77</v>
      </c>
      <c r="F19" s="54">
        <v>1344</v>
      </c>
      <c r="G19" s="55">
        <v>0.6</v>
      </c>
      <c r="H19" s="53">
        <v>806</v>
      </c>
      <c r="I19" s="53" t="s">
        <v>443</v>
      </c>
      <c r="J19" s="56" t="s">
        <v>83</v>
      </c>
      <c r="K19" s="53" t="s">
        <v>444</v>
      </c>
      <c r="L19" s="53"/>
    </row>
    <row r="20" spans="1:12" ht="15.75" x14ac:dyDescent="0.25">
      <c r="A20" s="51">
        <v>161</v>
      </c>
      <c r="B20" s="52">
        <v>45255</v>
      </c>
      <c r="C20" s="53" t="s">
        <v>452</v>
      </c>
      <c r="D20" s="53"/>
      <c r="E20" s="54">
        <v>35</v>
      </c>
      <c r="F20" s="54">
        <v>2962</v>
      </c>
      <c r="G20" s="55">
        <v>0.83</v>
      </c>
      <c r="H20" s="53">
        <v>2458</v>
      </c>
      <c r="I20" s="60" t="s">
        <v>453</v>
      </c>
      <c r="J20" s="56" t="s">
        <v>77</v>
      </c>
      <c r="K20" s="60" t="s">
        <v>454</v>
      </c>
      <c r="L20" s="53"/>
    </row>
    <row r="21" spans="1:12" ht="15.75" x14ac:dyDescent="0.25">
      <c r="A21" s="87">
        <v>184</v>
      </c>
      <c r="B21" s="88">
        <v>45473</v>
      </c>
      <c r="C21" s="58" t="s">
        <v>455</v>
      </c>
      <c r="D21" s="58"/>
      <c r="E21" s="59">
        <v>252</v>
      </c>
      <c r="F21" s="59">
        <v>5908</v>
      </c>
      <c r="G21" s="89">
        <v>0.49</v>
      </c>
      <c r="H21" s="58">
        <f t="shared" ref="H21" si="0">F21*G21</f>
        <v>2894.92</v>
      </c>
      <c r="I21" s="58" t="s">
        <v>456</v>
      </c>
      <c r="J21" s="60" t="s">
        <v>152</v>
      </c>
      <c r="K21" s="58" t="s">
        <v>457</v>
      </c>
      <c r="L21" s="58"/>
    </row>
    <row r="22" spans="1:12" ht="15.75" x14ac:dyDescent="0.25">
      <c r="A22" s="51">
        <v>191</v>
      </c>
      <c r="B22" s="52">
        <v>45545</v>
      </c>
      <c r="C22" s="53" t="s">
        <v>458</v>
      </c>
      <c r="D22" s="53"/>
      <c r="E22" s="54">
        <v>1956</v>
      </c>
      <c r="F22" s="54">
        <v>22739</v>
      </c>
      <c r="G22" s="55">
        <v>0.57999999999999996</v>
      </c>
      <c r="H22" s="53">
        <f>F22*G22</f>
        <v>13188.619999999999</v>
      </c>
      <c r="I22" s="53" t="s">
        <v>539</v>
      </c>
      <c r="J22" s="56" t="s">
        <v>328</v>
      </c>
      <c r="K22" s="53" t="s">
        <v>459</v>
      </c>
      <c r="L22" s="53" t="s">
        <v>460</v>
      </c>
    </row>
    <row r="23" spans="1:12" ht="15.75" x14ac:dyDescent="0.25">
      <c r="A23" s="51">
        <v>193</v>
      </c>
      <c r="B23" s="52">
        <v>45564</v>
      </c>
      <c r="C23" s="53" t="s">
        <v>318</v>
      </c>
      <c r="D23" s="53"/>
      <c r="E23" s="54">
        <v>32</v>
      </c>
      <c r="F23" s="54">
        <v>671</v>
      </c>
      <c r="G23" s="55">
        <v>0.56000000000000005</v>
      </c>
      <c r="H23" s="53">
        <v>375</v>
      </c>
      <c r="I23" s="53" t="s">
        <v>319</v>
      </c>
      <c r="J23" s="56" t="s">
        <v>176</v>
      </c>
      <c r="K23" s="53" t="s">
        <v>299</v>
      </c>
      <c r="L23" s="49"/>
    </row>
    <row r="24" spans="1:12" ht="45" x14ac:dyDescent="0.25">
      <c r="A24" s="46">
        <v>195</v>
      </c>
      <c r="B24" s="48">
        <v>45606</v>
      </c>
      <c r="C24" s="1" t="s">
        <v>320</v>
      </c>
      <c r="D24" s="1"/>
      <c r="E24" s="38">
        <v>390</v>
      </c>
      <c r="F24" s="38">
        <v>4689</v>
      </c>
      <c r="G24" s="50">
        <v>0.39</v>
      </c>
      <c r="H24" s="1">
        <f>F24*G24</f>
        <v>1828.71</v>
      </c>
      <c r="I24" s="202" t="s">
        <v>561</v>
      </c>
      <c r="J24" s="34" t="s">
        <v>81</v>
      </c>
      <c r="K24" s="1"/>
      <c r="L24" s="49"/>
    </row>
    <row r="25" spans="1:12" s="91" customFormat="1" ht="15.75" x14ac:dyDescent="0.25">
      <c r="A25" s="87">
        <v>196</v>
      </c>
      <c r="B25" s="88">
        <v>45616</v>
      </c>
      <c r="C25" s="58" t="s">
        <v>321</v>
      </c>
      <c r="D25" s="58"/>
      <c r="E25" s="59">
        <v>65</v>
      </c>
      <c r="F25" s="59">
        <v>728</v>
      </c>
      <c r="G25" s="58"/>
      <c r="H25" s="58"/>
      <c r="I25" s="58" t="s">
        <v>541</v>
      </c>
      <c r="J25" s="60" t="s">
        <v>78</v>
      </c>
      <c r="K25" s="58"/>
      <c r="L25" s="58"/>
    </row>
    <row r="26" spans="1:12" ht="15.75" x14ac:dyDescent="0.25">
      <c r="A26" s="161">
        <v>197</v>
      </c>
      <c r="B26" s="167">
        <v>45622</v>
      </c>
      <c r="C26" s="168" t="s">
        <v>322</v>
      </c>
      <c r="D26" s="168"/>
      <c r="E26" s="169">
        <v>60</v>
      </c>
      <c r="F26" s="169">
        <v>978</v>
      </c>
      <c r="G26" s="172">
        <v>0.3</v>
      </c>
      <c r="H26" s="168">
        <f>F26*G26</f>
        <v>293.39999999999998</v>
      </c>
      <c r="I26" s="168"/>
      <c r="J26" s="170" t="s">
        <v>81</v>
      </c>
      <c r="K26" s="168"/>
      <c r="L26" s="171"/>
    </row>
    <row r="27" spans="1:12" ht="15.75" x14ac:dyDescent="0.25">
      <c r="A27" s="51">
        <v>198</v>
      </c>
      <c r="B27" s="52">
        <v>45622</v>
      </c>
      <c r="C27" s="53" t="s">
        <v>323</v>
      </c>
      <c r="D27" s="53"/>
      <c r="E27" s="54">
        <v>7</v>
      </c>
      <c r="F27" s="54">
        <v>232</v>
      </c>
      <c r="G27" s="55">
        <v>0.95</v>
      </c>
      <c r="H27" s="53">
        <f>F27*G27</f>
        <v>220.39999999999998</v>
      </c>
      <c r="I27" s="53" t="s">
        <v>324</v>
      </c>
      <c r="J27" s="56" t="s">
        <v>325</v>
      </c>
      <c r="K27" s="53" t="s">
        <v>299</v>
      </c>
      <c r="L27" s="49"/>
    </row>
    <row r="28" spans="1:12" ht="15.75" x14ac:dyDescent="0.25">
      <c r="A28" s="51">
        <v>199</v>
      </c>
      <c r="B28" s="52">
        <v>45636</v>
      </c>
      <c r="C28" s="53" t="s">
        <v>326</v>
      </c>
      <c r="D28" s="53"/>
      <c r="E28" s="54"/>
      <c r="F28" s="54">
        <v>6625</v>
      </c>
      <c r="G28" s="55">
        <v>0.73</v>
      </c>
      <c r="H28" s="53">
        <f>F28*G28</f>
        <v>4836.25</v>
      </c>
      <c r="I28" s="53" t="s">
        <v>327</v>
      </c>
      <c r="J28" s="56" t="s">
        <v>328</v>
      </c>
      <c r="K28" s="53" t="s">
        <v>299</v>
      </c>
      <c r="L28" s="49"/>
    </row>
    <row r="29" spans="1:12" ht="15.75" x14ac:dyDescent="0.25">
      <c r="A29" s="51">
        <v>200</v>
      </c>
      <c r="B29" s="52">
        <v>45637</v>
      </c>
      <c r="C29" s="53" t="s">
        <v>329</v>
      </c>
      <c r="D29" s="53"/>
      <c r="E29" s="54"/>
      <c r="F29" s="54">
        <v>7830</v>
      </c>
      <c r="G29" s="55">
        <v>0.67</v>
      </c>
      <c r="H29" s="53">
        <f>F29*G29</f>
        <v>5246.1</v>
      </c>
      <c r="I29" s="53" t="s">
        <v>327</v>
      </c>
      <c r="J29" s="56" t="s">
        <v>328</v>
      </c>
      <c r="K29" s="53" t="s">
        <v>299</v>
      </c>
      <c r="L29" s="49"/>
    </row>
    <row r="30" spans="1:12" ht="15.75" x14ac:dyDescent="0.25">
      <c r="A30" s="51">
        <v>201</v>
      </c>
      <c r="B30" s="52">
        <v>45650</v>
      </c>
      <c r="C30" s="53" t="s">
        <v>330</v>
      </c>
      <c r="D30" s="53"/>
      <c r="E30" s="54"/>
      <c r="F30" s="54">
        <v>1464</v>
      </c>
      <c r="G30" s="55">
        <v>0.72</v>
      </c>
      <c r="H30" s="53">
        <f>F30*G30</f>
        <v>1054.08</v>
      </c>
      <c r="I30" s="53" t="s">
        <v>331</v>
      </c>
      <c r="J30" s="56" t="s">
        <v>332</v>
      </c>
      <c r="K30" s="53" t="s">
        <v>299</v>
      </c>
      <c r="L30" s="49"/>
    </row>
    <row r="31" spans="1:12" ht="15.75" x14ac:dyDescent="0.25">
      <c r="A31" s="161">
        <v>202</v>
      </c>
      <c r="B31" s="167">
        <v>45656</v>
      </c>
      <c r="C31" s="168" t="s">
        <v>333</v>
      </c>
      <c r="D31" s="168"/>
      <c r="E31" s="169">
        <v>138</v>
      </c>
      <c r="F31" s="164">
        <v>2435</v>
      </c>
      <c r="G31" s="173">
        <v>0.23899999999999999</v>
      </c>
      <c r="H31" s="164">
        <v>581.96</v>
      </c>
      <c r="I31" s="168"/>
      <c r="J31" s="170" t="s">
        <v>81</v>
      </c>
      <c r="K31" s="168"/>
      <c r="L31" s="171"/>
    </row>
    <row r="32" spans="1:12" ht="15.75" x14ac:dyDescent="0.25">
      <c r="A32" s="161">
        <v>203</v>
      </c>
      <c r="B32" s="167">
        <v>45657</v>
      </c>
      <c r="C32" s="168" t="s">
        <v>334</v>
      </c>
      <c r="D32" s="168"/>
      <c r="E32" s="169"/>
      <c r="F32" s="169">
        <v>1050</v>
      </c>
      <c r="G32" s="168"/>
      <c r="H32" s="168"/>
      <c r="I32" s="168"/>
      <c r="J32" s="170" t="s">
        <v>77</v>
      </c>
      <c r="K32" s="174"/>
      <c r="L32" s="171"/>
    </row>
    <row r="33" spans="1:12" ht="15.75" x14ac:dyDescent="0.25">
      <c r="A33" s="161">
        <v>204</v>
      </c>
      <c r="B33" s="167">
        <v>45657</v>
      </c>
      <c r="C33" s="168" t="s">
        <v>335</v>
      </c>
      <c r="D33" s="168"/>
      <c r="E33" s="169"/>
      <c r="F33" s="169">
        <v>251</v>
      </c>
      <c r="G33" s="168"/>
      <c r="H33" s="168"/>
      <c r="I33" s="168"/>
      <c r="J33" s="170" t="s">
        <v>77</v>
      </c>
      <c r="K33" s="168"/>
      <c r="L33" s="175"/>
    </row>
    <row r="34" spans="1:12" ht="15.75" x14ac:dyDescent="0.25">
      <c r="A34" s="87">
        <v>205</v>
      </c>
      <c r="B34" s="88">
        <v>45661</v>
      </c>
      <c r="C34" s="58" t="s">
        <v>461</v>
      </c>
      <c r="D34" s="58"/>
      <c r="E34" s="59">
        <v>3</v>
      </c>
      <c r="F34" s="59">
        <v>115</v>
      </c>
      <c r="G34" s="89">
        <v>1</v>
      </c>
      <c r="H34" s="58">
        <v>115</v>
      </c>
      <c r="I34" s="58" t="s">
        <v>462</v>
      </c>
      <c r="J34" s="60"/>
      <c r="K34" s="60" t="s">
        <v>463</v>
      </c>
      <c r="L34" s="90"/>
    </row>
    <row r="35" spans="1:12" ht="15.75" x14ac:dyDescent="0.25">
      <c r="A35" s="51">
        <v>207</v>
      </c>
      <c r="B35" s="52">
        <v>45698</v>
      </c>
      <c r="C35" s="53" t="s">
        <v>336</v>
      </c>
      <c r="D35" s="53"/>
      <c r="E35" s="54">
        <v>295</v>
      </c>
      <c r="F35" s="54">
        <v>5900</v>
      </c>
      <c r="G35" s="55">
        <v>0.87</v>
      </c>
      <c r="H35" s="53">
        <f>F35*G35</f>
        <v>5133</v>
      </c>
      <c r="I35" s="53" t="s">
        <v>337</v>
      </c>
      <c r="J35" s="56" t="s">
        <v>124</v>
      </c>
      <c r="K35" s="53" t="s">
        <v>299</v>
      </c>
      <c r="L35" s="57"/>
    </row>
    <row r="36" spans="1:12" ht="15.75" x14ac:dyDescent="0.25">
      <c r="A36" s="51">
        <v>208</v>
      </c>
      <c r="B36" s="52">
        <v>45698</v>
      </c>
      <c r="C36" s="53" t="s">
        <v>338</v>
      </c>
      <c r="D36" s="53"/>
      <c r="E36" s="54">
        <v>237</v>
      </c>
      <c r="F36" s="54">
        <v>4740</v>
      </c>
      <c r="G36" s="55">
        <v>0.71</v>
      </c>
      <c r="H36" s="53">
        <f>F36*G36</f>
        <v>3365.3999999999996</v>
      </c>
      <c r="I36" s="53" t="s">
        <v>339</v>
      </c>
      <c r="J36" s="56" t="s">
        <v>124</v>
      </c>
      <c r="K36" s="53" t="s">
        <v>299</v>
      </c>
      <c r="L36" s="57"/>
    </row>
    <row r="37" spans="1:12" ht="15.75" x14ac:dyDescent="0.25">
      <c r="A37" s="161">
        <v>209</v>
      </c>
      <c r="B37" s="167">
        <v>45705</v>
      </c>
      <c r="C37" s="168" t="s">
        <v>340</v>
      </c>
      <c r="D37" s="168"/>
      <c r="E37" s="169">
        <v>1</v>
      </c>
      <c r="F37" s="176">
        <v>26.8</v>
      </c>
      <c r="G37" s="168"/>
      <c r="H37" s="168"/>
      <c r="I37" s="168"/>
      <c r="J37" s="170" t="s">
        <v>325</v>
      </c>
      <c r="K37" s="168"/>
      <c r="L37" s="175"/>
    </row>
    <row r="38" spans="1:12" ht="15.75" x14ac:dyDescent="0.25">
      <c r="A38" s="51">
        <v>210</v>
      </c>
      <c r="B38" s="52">
        <v>45712</v>
      </c>
      <c r="C38" s="53" t="s">
        <v>341</v>
      </c>
      <c r="D38" s="53"/>
      <c r="E38" s="54">
        <v>57</v>
      </c>
      <c r="F38" s="54">
        <v>281</v>
      </c>
      <c r="G38" s="55">
        <v>0.64</v>
      </c>
      <c r="H38" s="53">
        <f>F38*G38</f>
        <v>179.84</v>
      </c>
      <c r="I38" s="53" t="s">
        <v>342</v>
      </c>
      <c r="J38" s="56"/>
      <c r="K38" s="53" t="s">
        <v>299</v>
      </c>
      <c r="L38" s="57"/>
    </row>
    <row r="39" spans="1:12" ht="15.75" x14ac:dyDescent="0.25">
      <c r="A39" s="51">
        <v>211</v>
      </c>
      <c r="B39" s="52">
        <v>45722</v>
      </c>
      <c r="C39" s="53" t="s">
        <v>343</v>
      </c>
      <c r="D39" s="53"/>
      <c r="E39" s="54">
        <v>107</v>
      </c>
      <c r="F39" s="54">
        <v>2169</v>
      </c>
      <c r="G39" s="55">
        <v>0.87</v>
      </c>
      <c r="H39" s="53">
        <v>1887</v>
      </c>
      <c r="I39" s="53" t="s">
        <v>344</v>
      </c>
      <c r="J39" s="56" t="s">
        <v>124</v>
      </c>
      <c r="K39" s="53" t="s">
        <v>299</v>
      </c>
      <c r="L39" s="57"/>
    </row>
    <row r="40" spans="1:12" ht="15.75" x14ac:dyDescent="0.25">
      <c r="A40" s="51">
        <v>212</v>
      </c>
      <c r="B40" s="52">
        <v>45726</v>
      </c>
      <c r="C40" s="53" t="s">
        <v>464</v>
      </c>
      <c r="D40" s="53"/>
      <c r="E40" s="54">
        <v>280</v>
      </c>
      <c r="F40" s="54">
        <v>3332</v>
      </c>
      <c r="G40" s="55">
        <v>0.1</v>
      </c>
      <c r="H40" s="53">
        <f>F40*G40</f>
        <v>333.20000000000005</v>
      </c>
      <c r="I40" s="53" t="s">
        <v>465</v>
      </c>
      <c r="J40" s="56" t="s">
        <v>124</v>
      </c>
      <c r="K40" s="54" t="s">
        <v>466</v>
      </c>
      <c r="L40" s="91"/>
    </row>
    <row r="41" spans="1:12" ht="15.75" x14ac:dyDescent="0.25">
      <c r="A41" s="51">
        <v>213</v>
      </c>
      <c r="B41" s="52">
        <v>45726</v>
      </c>
      <c r="C41" s="53" t="s">
        <v>464</v>
      </c>
      <c r="D41" s="53"/>
      <c r="E41" s="54">
        <v>80</v>
      </c>
      <c r="F41" s="54">
        <v>1037</v>
      </c>
      <c r="G41" s="55">
        <v>0.4</v>
      </c>
      <c r="H41" s="53">
        <f>F41*G41</f>
        <v>414.8</v>
      </c>
      <c r="I41" s="53" t="s">
        <v>344</v>
      </c>
      <c r="J41" s="56" t="s">
        <v>124</v>
      </c>
      <c r="K41" s="54" t="s">
        <v>467</v>
      </c>
      <c r="L41" s="91"/>
    </row>
    <row r="42" spans="1:12" ht="15.75" x14ac:dyDescent="0.25">
      <c r="A42" s="161">
        <v>214</v>
      </c>
      <c r="B42" s="167">
        <v>45783</v>
      </c>
      <c r="C42" s="168" t="s">
        <v>345</v>
      </c>
      <c r="D42" s="168"/>
      <c r="E42" s="169">
        <v>45</v>
      </c>
      <c r="F42" s="169">
        <v>901</v>
      </c>
      <c r="G42" s="172">
        <v>1</v>
      </c>
      <c r="H42" s="168">
        <v>901</v>
      </c>
      <c r="I42" s="168"/>
      <c r="J42" s="170" t="s">
        <v>105</v>
      </c>
      <c r="K42" s="168"/>
      <c r="L42" s="175"/>
    </row>
    <row r="43" spans="1:12" ht="15.75" x14ac:dyDescent="0.25">
      <c r="A43" s="51">
        <v>215</v>
      </c>
      <c r="B43" s="52">
        <v>45787</v>
      </c>
      <c r="C43" s="58" t="s">
        <v>346</v>
      </c>
      <c r="D43" s="58"/>
      <c r="E43" s="59">
        <v>240</v>
      </c>
      <c r="F43" s="59">
        <v>5563</v>
      </c>
      <c r="G43" s="55">
        <v>0.6</v>
      </c>
      <c r="H43" s="58">
        <v>3337.8</v>
      </c>
      <c r="I43" s="58" t="s">
        <v>347</v>
      </c>
      <c r="J43" s="60" t="s">
        <v>348</v>
      </c>
      <c r="K43" s="53" t="s">
        <v>299</v>
      </c>
      <c r="L43" s="57"/>
    </row>
    <row r="44" spans="1:12" ht="15.75" x14ac:dyDescent="0.25">
      <c r="A44" s="87">
        <v>216</v>
      </c>
      <c r="B44" s="58" t="s">
        <v>468</v>
      </c>
      <c r="C44" s="58" t="s">
        <v>469</v>
      </c>
      <c r="D44" s="58" t="s">
        <v>117</v>
      </c>
      <c r="E44" s="59">
        <v>48</v>
      </c>
      <c r="F44" s="59">
        <v>1096</v>
      </c>
      <c r="G44" s="89">
        <v>0.5</v>
      </c>
      <c r="H44" s="58">
        <v>548</v>
      </c>
      <c r="I44" s="58" t="s">
        <v>470</v>
      </c>
      <c r="J44" s="60" t="s">
        <v>471</v>
      </c>
      <c r="K44" s="60" t="s">
        <v>472</v>
      </c>
      <c r="L44" s="90"/>
    </row>
    <row r="45" spans="1:12" ht="15.75" x14ac:dyDescent="0.25">
      <c r="A45" s="61">
        <v>217</v>
      </c>
      <c r="B45" s="62">
        <v>45831</v>
      </c>
      <c r="C45" s="63" t="s">
        <v>349</v>
      </c>
      <c r="D45" s="63"/>
      <c r="E45" s="64">
        <v>145</v>
      </c>
      <c r="F45" s="64">
        <v>1442</v>
      </c>
      <c r="G45" s="65">
        <v>0.42</v>
      </c>
      <c r="H45" s="63">
        <v>605.6</v>
      </c>
      <c r="I45" s="63" t="s">
        <v>350</v>
      </c>
      <c r="J45" s="66" t="s">
        <v>124</v>
      </c>
      <c r="K45" s="53" t="s">
        <v>299</v>
      </c>
    </row>
    <row r="46" spans="1:12" ht="15.75" x14ac:dyDescent="0.25">
      <c r="A46" s="61">
        <v>218</v>
      </c>
      <c r="B46" s="62">
        <v>45838</v>
      </c>
      <c r="C46" s="63" t="s">
        <v>473</v>
      </c>
      <c r="D46" s="63"/>
      <c r="E46" s="64">
        <v>45</v>
      </c>
      <c r="F46" s="64">
        <v>397</v>
      </c>
      <c r="G46" s="92">
        <v>0.51600000000000001</v>
      </c>
      <c r="H46" s="63">
        <v>204.85</v>
      </c>
      <c r="I46" s="63" t="s">
        <v>474</v>
      </c>
      <c r="J46" s="66" t="s">
        <v>176</v>
      </c>
      <c r="K46" s="66" t="s">
        <v>475</v>
      </c>
      <c r="L46" s="93"/>
    </row>
    <row r="47" spans="1:12" ht="15.75" x14ac:dyDescent="0.25">
      <c r="A47" s="94">
        <v>219</v>
      </c>
      <c r="B47" s="95">
        <v>45852</v>
      </c>
      <c r="C47" s="53" t="s">
        <v>476</v>
      </c>
      <c r="D47" s="53"/>
      <c r="E47" s="54">
        <v>165</v>
      </c>
      <c r="F47" s="54">
        <v>2062</v>
      </c>
      <c r="G47" s="96">
        <v>0.59199999999999997</v>
      </c>
      <c r="H47" s="53">
        <v>1220.7</v>
      </c>
      <c r="I47" s="53" t="s">
        <v>477</v>
      </c>
      <c r="J47" s="56" t="s">
        <v>478</v>
      </c>
      <c r="K47" s="56" t="s">
        <v>479</v>
      </c>
      <c r="L47" s="91"/>
    </row>
    <row r="48" spans="1:12" ht="15.75" x14ac:dyDescent="0.25">
      <c r="A48" s="94">
        <v>220</v>
      </c>
      <c r="B48" s="95">
        <v>45868</v>
      </c>
      <c r="C48" s="53" t="s">
        <v>480</v>
      </c>
      <c r="D48" s="53"/>
      <c r="E48" s="54">
        <v>365</v>
      </c>
      <c r="F48" s="54">
        <v>9111</v>
      </c>
      <c r="G48" s="55">
        <v>0.79</v>
      </c>
      <c r="H48" s="53">
        <v>7197.6</v>
      </c>
      <c r="I48" s="53" t="s">
        <v>481</v>
      </c>
      <c r="J48" s="56" t="s">
        <v>124</v>
      </c>
      <c r="K48" s="54" t="s">
        <v>482</v>
      </c>
      <c r="L48" s="91"/>
    </row>
    <row r="49" spans="1:12" s="91" customFormat="1" ht="15.75" x14ac:dyDescent="0.25">
      <c r="A49" s="194">
        <v>221</v>
      </c>
      <c r="B49" s="195">
        <v>45875</v>
      </c>
      <c r="C49" s="58" t="s">
        <v>351</v>
      </c>
      <c r="D49" s="58"/>
      <c r="E49" s="59">
        <v>8</v>
      </c>
      <c r="F49" s="59">
        <v>259</v>
      </c>
      <c r="G49" s="58"/>
      <c r="H49" s="58"/>
      <c r="I49" s="58" t="s">
        <v>546</v>
      </c>
      <c r="J49" s="60" t="s">
        <v>81</v>
      </c>
      <c r="K49" s="58" t="s">
        <v>544</v>
      </c>
      <c r="L49" s="90"/>
    </row>
    <row r="50" spans="1:12" s="91" customFormat="1" ht="15.75" x14ac:dyDescent="0.25">
      <c r="A50" s="194">
        <v>222</v>
      </c>
      <c r="B50" s="195">
        <v>45875</v>
      </c>
      <c r="C50" s="58" t="s">
        <v>352</v>
      </c>
      <c r="D50" s="58"/>
      <c r="E50" s="59">
        <v>14</v>
      </c>
      <c r="F50" s="59">
        <v>315</v>
      </c>
      <c r="G50" s="58"/>
      <c r="H50" s="58"/>
      <c r="I50" s="58" t="s">
        <v>546</v>
      </c>
      <c r="J50" s="60" t="s">
        <v>81</v>
      </c>
      <c r="K50" s="58" t="s">
        <v>544</v>
      </c>
      <c r="L50" s="90"/>
    </row>
    <row r="51" spans="1:12" ht="15.75" x14ac:dyDescent="0.25">
      <c r="A51" s="94">
        <v>223</v>
      </c>
      <c r="B51" s="95">
        <v>45887</v>
      </c>
      <c r="C51" s="53" t="s">
        <v>483</v>
      </c>
      <c r="D51" s="53"/>
      <c r="E51" s="54">
        <v>250</v>
      </c>
      <c r="F51" s="54">
        <v>4400</v>
      </c>
      <c r="G51" s="96">
        <v>0.79500000000000004</v>
      </c>
      <c r="H51" s="53">
        <v>3498</v>
      </c>
      <c r="I51" s="53" t="s">
        <v>484</v>
      </c>
      <c r="J51" s="56" t="s">
        <v>176</v>
      </c>
      <c r="K51" s="53" t="s">
        <v>485</v>
      </c>
      <c r="L51" s="91"/>
    </row>
    <row r="52" spans="1:12" s="91" customFormat="1" ht="15.75" x14ac:dyDescent="0.25">
      <c r="A52" s="94">
        <v>224</v>
      </c>
      <c r="B52" s="95">
        <v>45896</v>
      </c>
      <c r="C52" s="53" t="s">
        <v>353</v>
      </c>
      <c r="D52" s="53"/>
      <c r="E52" s="54">
        <v>160</v>
      </c>
      <c r="F52" s="54">
        <v>1623</v>
      </c>
      <c r="G52" s="55">
        <v>0.46</v>
      </c>
      <c r="H52" s="53">
        <v>747</v>
      </c>
      <c r="I52" s="53" t="s">
        <v>507</v>
      </c>
      <c r="J52" s="56" t="s">
        <v>81</v>
      </c>
      <c r="K52" s="53" t="s">
        <v>497</v>
      </c>
    </row>
    <row r="53" spans="1:12" ht="15.75" x14ac:dyDescent="0.25">
      <c r="A53" s="177">
        <v>225</v>
      </c>
      <c r="B53" s="178">
        <v>45907</v>
      </c>
      <c r="C53" s="168" t="s">
        <v>354</v>
      </c>
      <c r="D53" s="168"/>
      <c r="E53" s="169">
        <v>35</v>
      </c>
      <c r="F53" s="169">
        <v>1311</v>
      </c>
      <c r="G53" s="172">
        <v>0.93</v>
      </c>
      <c r="H53" s="168">
        <v>1220</v>
      </c>
      <c r="I53" s="168"/>
      <c r="J53" s="170" t="s">
        <v>77</v>
      </c>
      <c r="K53" s="168"/>
      <c r="L53" s="179"/>
    </row>
    <row r="54" spans="1:12" ht="15.75" x14ac:dyDescent="0.25">
      <c r="A54" s="177">
        <v>226</v>
      </c>
      <c r="B54" s="178">
        <v>45910</v>
      </c>
      <c r="C54" s="168" t="s">
        <v>355</v>
      </c>
      <c r="D54" s="168"/>
      <c r="E54" s="169">
        <v>19</v>
      </c>
      <c r="F54" s="169">
        <v>988</v>
      </c>
      <c r="G54" s="172">
        <v>0.89</v>
      </c>
      <c r="H54" s="168">
        <v>879</v>
      </c>
      <c r="I54" s="168"/>
      <c r="J54" s="170" t="s">
        <v>105</v>
      </c>
      <c r="K54" s="168"/>
      <c r="L54" s="179"/>
    </row>
    <row r="55" spans="1:12" ht="15.75" x14ac:dyDescent="0.25">
      <c r="A55" s="177">
        <v>227</v>
      </c>
      <c r="B55" s="178">
        <v>45910</v>
      </c>
      <c r="C55" s="168" t="s">
        <v>356</v>
      </c>
      <c r="D55" s="168"/>
      <c r="E55" s="169">
        <v>30</v>
      </c>
      <c r="F55" s="169">
        <v>1300</v>
      </c>
      <c r="G55" s="168"/>
      <c r="H55" s="168"/>
      <c r="I55" s="168"/>
      <c r="J55" s="170" t="s">
        <v>105</v>
      </c>
      <c r="K55" s="168"/>
      <c r="L55" s="179"/>
    </row>
    <row r="56" spans="1:12" ht="15.75" x14ac:dyDescent="0.25">
      <c r="A56" s="94">
        <v>228</v>
      </c>
      <c r="B56" s="95">
        <v>45926</v>
      </c>
      <c r="C56" s="53" t="s">
        <v>486</v>
      </c>
      <c r="D56" s="53"/>
      <c r="E56" s="54">
        <v>200</v>
      </c>
      <c r="F56" s="54">
        <v>2084</v>
      </c>
      <c r="G56" s="55">
        <v>0.35</v>
      </c>
      <c r="H56" s="53">
        <v>729</v>
      </c>
      <c r="I56" s="53" t="s">
        <v>487</v>
      </c>
      <c r="J56" s="56" t="s">
        <v>124</v>
      </c>
      <c r="K56" s="53" t="s">
        <v>488</v>
      </c>
      <c r="L56" s="91"/>
    </row>
    <row r="57" spans="1:12" ht="15.75" x14ac:dyDescent="0.25">
      <c r="A57" s="94">
        <v>229</v>
      </c>
      <c r="B57" s="95">
        <v>45926</v>
      </c>
      <c r="C57" s="53" t="s">
        <v>489</v>
      </c>
      <c r="D57" s="53"/>
      <c r="E57" s="54">
        <v>60</v>
      </c>
      <c r="F57" s="54">
        <v>603</v>
      </c>
      <c r="G57" s="55">
        <v>0.75</v>
      </c>
      <c r="H57" s="53">
        <v>452</v>
      </c>
      <c r="I57" s="53" t="s">
        <v>487</v>
      </c>
      <c r="J57" s="56" t="s">
        <v>124</v>
      </c>
      <c r="K57" s="53" t="s">
        <v>488</v>
      </c>
      <c r="L57" s="91"/>
    </row>
    <row r="58" spans="1:12" s="11" customFormat="1" ht="29.25" customHeight="1" x14ac:dyDescent="0.25">
      <c r="A58" s="67">
        <v>230</v>
      </c>
      <c r="B58" s="97">
        <v>45932</v>
      </c>
      <c r="C58" s="25" t="s">
        <v>357</v>
      </c>
      <c r="D58" s="25"/>
      <c r="E58" s="25">
        <v>210</v>
      </c>
      <c r="F58" s="25">
        <v>2788</v>
      </c>
      <c r="G58" s="102">
        <v>0.65</v>
      </c>
      <c r="H58" s="25">
        <f>F58*G58</f>
        <v>1812.2</v>
      </c>
      <c r="I58" s="25" t="s">
        <v>523</v>
      </c>
      <c r="J58" s="25" t="s">
        <v>81</v>
      </c>
      <c r="K58" s="103" t="s">
        <v>500</v>
      </c>
    </row>
    <row r="59" spans="1:12" ht="15.75" x14ac:dyDescent="0.25">
      <c r="A59" s="177">
        <v>231</v>
      </c>
      <c r="B59" s="178">
        <v>45935</v>
      </c>
      <c r="C59" s="168" t="s">
        <v>358</v>
      </c>
      <c r="D59" s="168"/>
      <c r="E59" s="169">
        <v>3</v>
      </c>
      <c r="F59" s="169">
        <v>53</v>
      </c>
      <c r="G59" s="168"/>
      <c r="H59" s="168"/>
      <c r="I59" s="168"/>
      <c r="J59" s="170" t="s">
        <v>77</v>
      </c>
      <c r="K59" s="168"/>
      <c r="L59" s="179"/>
    </row>
    <row r="60" spans="1:12" s="91" customFormat="1" ht="15.75" x14ac:dyDescent="0.25">
      <c r="A60" s="94">
        <v>232</v>
      </c>
      <c r="B60" s="95">
        <v>45945</v>
      </c>
      <c r="C60" s="53" t="s">
        <v>359</v>
      </c>
      <c r="D60" s="53"/>
      <c r="E60" s="54">
        <v>95</v>
      </c>
      <c r="F60" s="54">
        <v>1153</v>
      </c>
      <c r="G60" s="55">
        <v>0.48</v>
      </c>
      <c r="H60" s="53">
        <v>553</v>
      </c>
      <c r="I60" s="53" t="s">
        <v>506</v>
      </c>
      <c r="J60" s="56" t="s">
        <v>81</v>
      </c>
      <c r="K60" s="53" t="s">
        <v>497</v>
      </c>
    </row>
    <row r="61" spans="1:12" ht="15.75" x14ac:dyDescent="0.25">
      <c r="A61" s="94">
        <v>233</v>
      </c>
      <c r="B61" s="95">
        <v>45950</v>
      </c>
      <c r="C61" s="53" t="s">
        <v>490</v>
      </c>
      <c r="D61" s="53"/>
      <c r="E61" s="54">
        <v>22</v>
      </c>
      <c r="F61" s="54">
        <v>445</v>
      </c>
      <c r="G61" s="55">
        <v>0.7</v>
      </c>
      <c r="H61" s="53">
        <v>312</v>
      </c>
      <c r="I61" s="53" t="s">
        <v>491</v>
      </c>
      <c r="J61" s="56"/>
      <c r="K61" s="53" t="s">
        <v>492</v>
      </c>
      <c r="L61" s="91"/>
    </row>
    <row r="62" spans="1:12" ht="15.75" x14ac:dyDescent="0.25">
      <c r="A62" s="177">
        <v>234</v>
      </c>
      <c r="B62" s="178">
        <v>45991</v>
      </c>
      <c r="C62" s="168" t="s">
        <v>360</v>
      </c>
      <c r="D62" s="168"/>
      <c r="E62" s="169">
        <v>130</v>
      </c>
      <c r="F62" s="169">
        <v>2000</v>
      </c>
      <c r="G62" s="172">
        <v>0.53</v>
      </c>
      <c r="H62" s="168">
        <v>1060</v>
      </c>
      <c r="I62" s="168"/>
      <c r="J62" s="170" t="s">
        <v>102</v>
      </c>
      <c r="K62" s="168"/>
      <c r="L62" s="179"/>
    </row>
    <row r="63" spans="1:12" ht="15.75" x14ac:dyDescent="0.25">
      <c r="A63" s="177">
        <v>235</v>
      </c>
      <c r="B63" s="178">
        <v>45992</v>
      </c>
      <c r="C63" s="168" t="s">
        <v>361</v>
      </c>
      <c r="D63" s="168"/>
      <c r="E63" s="169">
        <v>120</v>
      </c>
      <c r="F63" s="169">
        <v>2742</v>
      </c>
      <c r="G63" s="172">
        <v>0.55000000000000004</v>
      </c>
      <c r="H63" s="168">
        <f>F63*G63</f>
        <v>1508.1000000000001</v>
      </c>
      <c r="I63" s="168"/>
      <c r="J63" s="170" t="s">
        <v>81</v>
      </c>
      <c r="K63" s="168"/>
      <c r="L63" s="179"/>
    </row>
    <row r="64" spans="1:12" ht="15.75" x14ac:dyDescent="0.25">
      <c r="A64" s="177">
        <v>236</v>
      </c>
      <c r="B64" s="178">
        <v>45994</v>
      </c>
      <c r="C64" s="168" t="s">
        <v>362</v>
      </c>
      <c r="D64" s="168"/>
      <c r="E64" s="169">
        <v>153</v>
      </c>
      <c r="F64" s="169">
        <v>3060</v>
      </c>
      <c r="G64" s="172">
        <v>0.65</v>
      </c>
      <c r="H64" s="168">
        <f>F64*G64</f>
        <v>1989</v>
      </c>
      <c r="I64" s="168"/>
      <c r="J64" s="170" t="s">
        <v>81</v>
      </c>
      <c r="K64" s="168"/>
      <c r="L64" s="179"/>
    </row>
    <row r="65" spans="1:12" s="91" customFormat="1" ht="15.75" x14ac:dyDescent="0.25">
      <c r="A65" s="94">
        <v>237</v>
      </c>
      <c r="B65" s="95">
        <v>46008</v>
      </c>
      <c r="C65" s="53" t="s">
        <v>493</v>
      </c>
      <c r="D65" s="53"/>
      <c r="E65" s="54">
        <v>42</v>
      </c>
      <c r="F65" s="54">
        <v>954</v>
      </c>
      <c r="G65" s="55">
        <v>0.56999999999999995</v>
      </c>
      <c r="H65" s="53">
        <v>544</v>
      </c>
      <c r="I65" s="53" t="s">
        <v>503</v>
      </c>
      <c r="J65" s="56" t="s">
        <v>332</v>
      </c>
      <c r="K65" s="53" t="s">
        <v>497</v>
      </c>
    </row>
    <row r="66" spans="1:12" ht="15.75" x14ac:dyDescent="0.25">
      <c r="A66" s="94">
        <v>238</v>
      </c>
      <c r="B66" s="95">
        <v>46009</v>
      </c>
      <c r="C66" s="53" t="s">
        <v>494</v>
      </c>
      <c r="D66" s="53"/>
      <c r="E66" s="54">
        <v>82</v>
      </c>
      <c r="F66" s="54">
        <v>634</v>
      </c>
      <c r="G66" s="55">
        <v>0.4</v>
      </c>
      <c r="H66" s="53">
        <v>253</v>
      </c>
      <c r="I66" s="53" t="s">
        <v>495</v>
      </c>
      <c r="J66" s="56" t="s">
        <v>81</v>
      </c>
      <c r="K66" s="53" t="s">
        <v>496</v>
      </c>
      <c r="L66" s="91"/>
    </row>
    <row r="67" spans="1:12" s="91" customFormat="1" ht="15.75" x14ac:dyDescent="0.25">
      <c r="A67" s="206">
        <v>239</v>
      </c>
      <c r="B67" s="207">
        <v>46011</v>
      </c>
      <c r="C67" s="212" t="s">
        <v>545</v>
      </c>
      <c r="D67" s="213"/>
      <c r="E67" s="208">
        <v>90</v>
      </c>
      <c r="F67" s="208">
        <v>979</v>
      </c>
      <c r="G67" s="55">
        <v>0.4</v>
      </c>
      <c r="H67" s="209">
        <f>F67*G67</f>
        <v>391.6</v>
      </c>
      <c r="I67" s="209" t="s">
        <v>563</v>
      </c>
      <c r="J67" s="210" t="s">
        <v>81</v>
      </c>
      <c r="K67" s="209"/>
      <c r="L67" s="90"/>
    </row>
    <row r="68" spans="1:12" s="1" customFormat="1" ht="15.75" x14ac:dyDescent="0.25">
      <c r="A68" s="67">
        <v>240</v>
      </c>
      <c r="B68" s="201">
        <v>46114</v>
      </c>
      <c r="C68" s="1" t="s">
        <v>560</v>
      </c>
      <c r="E68" s="1">
        <v>55</v>
      </c>
      <c r="F68" s="1">
        <v>1082</v>
      </c>
      <c r="G68" s="50">
        <v>0.46</v>
      </c>
      <c r="H68" s="1">
        <f>F68*G68</f>
        <v>497.72</v>
      </c>
      <c r="I68" s="1" t="s">
        <v>564</v>
      </c>
      <c r="J68" s="199" t="s">
        <v>105</v>
      </c>
    </row>
    <row r="69" spans="1:12" s="1" customFormat="1" ht="15.75" x14ac:dyDescent="0.25">
      <c r="A69" s="198">
        <v>241</v>
      </c>
      <c r="B69" s="201">
        <v>46059</v>
      </c>
      <c r="C69" s="1" t="s">
        <v>565</v>
      </c>
      <c r="E69" s="1">
        <v>66</v>
      </c>
      <c r="F69" s="1">
        <v>1039</v>
      </c>
      <c r="G69" s="50">
        <v>0.32</v>
      </c>
      <c r="H69" s="1">
        <f>F69*G69</f>
        <v>332.48</v>
      </c>
      <c r="J69" s="199" t="s">
        <v>158</v>
      </c>
    </row>
    <row r="70" spans="1:12" s="1" customFormat="1" ht="15.75" x14ac:dyDescent="0.25">
      <c r="A70" s="67">
        <v>242</v>
      </c>
    </row>
    <row r="71" spans="1:12" s="1" customFormat="1" ht="15.75" x14ac:dyDescent="0.25">
      <c r="A71" s="198">
        <v>243</v>
      </c>
    </row>
    <row r="72" spans="1:12" s="1" customFormat="1" ht="15.75" x14ac:dyDescent="0.25">
      <c r="A72" s="67">
        <v>244</v>
      </c>
    </row>
    <row r="73" spans="1:12" s="1" customFormat="1" ht="15.75" x14ac:dyDescent="0.25">
      <c r="A73" s="198">
        <v>245</v>
      </c>
    </row>
    <row r="74" spans="1:12" s="1" customFormat="1" ht="15.75" x14ac:dyDescent="0.25">
      <c r="A74" s="67">
        <v>246</v>
      </c>
    </row>
    <row r="75" spans="1:12" ht="15.75" x14ac:dyDescent="0.25">
      <c r="A75" s="198">
        <v>247</v>
      </c>
    </row>
    <row r="76" spans="1:12" x14ac:dyDescent="0.25">
      <c r="A76" s="200"/>
    </row>
  </sheetData>
  <autoFilter ref="A2:L75" xr:uid="{B26F8A4B-3D7C-4100-ACB2-641C19E0B5EE}"/>
  <mergeCells count="2">
    <mergeCell ref="A1:L1"/>
    <mergeCell ref="C67:D67"/>
  </mergeCells>
  <phoneticPr fontId="4" type="noConversion"/>
  <pageMargins left="0.7" right="0.7" top="0.75" bottom="0.75" header="0.3" footer="0.3"/>
  <pageSetup paperSize="9" scale="60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D1644-859F-43EA-AB3C-35F70594A80B}">
  <sheetPr codeName="Sheet9">
    <tabColor rgb="FFFF0000"/>
  </sheetPr>
  <dimension ref="A1:U810"/>
  <sheetViews>
    <sheetView showGridLines="0" zoomScale="85" zoomScaleNormal="85" zoomScaleSheetLayoutView="85" workbookViewId="0">
      <pane xSplit="21" ySplit="9" topLeftCell="V10" activePane="bottomRight" state="frozen"/>
      <selection pane="topRight" activeCell="V1" sqref="V1"/>
      <selection pane="bottomLeft" activeCell="A10" sqref="A10"/>
      <selection pane="bottomRight" activeCell="N2" sqref="N2:O2"/>
    </sheetView>
  </sheetViews>
  <sheetFormatPr defaultColWidth="9.140625" defaultRowHeight="15.75" x14ac:dyDescent="0.25"/>
  <cols>
    <col min="1" max="1" width="12.85546875" style="104" customWidth="1"/>
    <col min="2" max="2" width="12.85546875" style="105" bestFit="1" customWidth="1"/>
    <col min="3" max="3" width="10.7109375" style="104" bestFit="1" customWidth="1"/>
    <col min="4" max="4" width="14.85546875" style="104" bestFit="1" customWidth="1"/>
    <col min="5" max="5" width="18.42578125" style="104" hidden="1" customWidth="1"/>
    <col min="6" max="6" width="15.85546875" style="104" hidden="1" customWidth="1"/>
    <col min="7" max="7" width="16.140625" style="104" bestFit="1" customWidth="1"/>
    <col min="8" max="8" width="12.28515625" style="104" hidden="1" customWidth="1"/>
    <col min="9" max="9" width="7.140625" style="104" hidden="1" customWidth="1"/>
    <col min="10" max="10" width="8" style="104" hidden="1" customWidth="1"/>
    <col min="11" max="11" width="6.42578125" style="104" hidden="1" customWidth="1"/>
    <col min="12" max="12" width="7" style="104" hidden="1" customWidth="1"/>
    <col min="13" max="13" width="15.28515625" style="127" bestFit="1" customWidth="1"/>
    <col min="14" max="14" width="6.7109375" style="106" bestFit="1" customWidth="1"/>
    <col min="15" max="15" width="15.28515625" style="127" bestFit="1" customWidth="1"/>
    <col min="16" max="16" width="10.5703125" style="104" bestFit="1" customWidth="1"/>
    <col min="17" max="17" width="10" style="104" customWidth="1"/>
    <col min="18" max="18" width="10.42578125" style="105" bestFit="1" customWidth="1"/>
    <col min="19" max="19" width="7.42578125" style="104" customWidth="1"/>
    <col min="20" max="20" width="11.28515625" style="104" bestFit="1" customWidth="1"/>
    <col min="21" max="21" width="40" style="128" customWidth="1"/>
    <col min="22" max="16384" width="9.140625" style="153"/>
  </cols>
  <sheetData>
    <row r="1" spans="1:21" ht="9.9499999999999993" customHeight="1" thickBot="1" x14ac:dyDescent="0.3">
      <c r="A1" s="146"/>
      <c r="B1" s="147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9"/>
      <c r="N1" s="151"/>
      <c r="O1" s="149"/>
      <c r="P1" s="146"/>
      <c r="Q1" s="146"/>
      <c r="R1" s="147"/>
      <c r="S1" s="146"/>
      <c r="T1" s="146"/>
      <c r="U1" s="148"/>
    </row>
    <row r="2" spans="1:21" ht="21.75" thickBot="1" x14ac:dyDescent="0.3">
      <c r="A2" s="216" t="s">
        <v>526</v>
      </c>
      <c r="B2" s="145" t="s">
        <v>12</v>
      </c>
      <c r="C2" s="214" t="s">
        <v>3</v>
      </c>
      <c r="D2" s="215"/>
      <c r="G2" s="146"/>
      <c r="I2" s="106"/>
      <c r="J2" s="106"/>
      <c r="K2" s="106"/>
      <c r="L2" s="106"/>
      <c r="M2" s="145" t="s">
        <v>13</v>
      </c>
      <c r="N2" s="214" t="s">
        <v>254</v>
      </c>
      <c r="O2" s="215"/>
      <c r="P2" s="146"/>
      <c r="Q2" s="217" t="s">
        <v>525</v>
      </c>
      <c r="R2" s="218"/>
      <c r="S2" s="214"/>
      <c r="T2" s="215"/>
      <c r="U2" s="148"/>
    </row>
    <row r="3" spans="1:21" ht="9.9499999999999993" customHeight="1" thickBot="1" x14ac:dyDescent="0.3">
      <c r="A3" s="216"/>
      <c r="B3" s="147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9"/>
      <c r="P3" s="146"/>
      <c r="Q3" s="146"/>
      <c r="R3" s="147"/>
      <c r="S3" s="146"/>
      <c r="T3" s="146"/>
      <c r="U3" s="148"/>
    </row>
    <row r="4" spans="1:21" ht="21.75" thickBot="1" x14ac:dyDescent="0.3">
      <c r="A4" s="216"/>
      <c r="B4" s="145" t="s">
        <v>11</v>
      </c>
      <c r="C4" s="214" t="s">
        <v>32</v>
      </c>
      <c r="D4" s="215"/>
      <c r="G4" s="146"/>
      <c r="I4" s="106"/>
      <c r="J4" s="106"/>
      <c r="K4" s="106"/>
      <c r="L4" s="106"/>
      <c r="M4" s="145" t="s">
        <v>264</v>
      </c>
      <c r="N4" s="214">
        <v>0</v>
      </c>
      <c r="O4" s="215"/>
      <c r="P4" s="146"/>
      <c r="Q4" s="146"/>
      <c r="R4" s="147"/>
      <c r="S4" s="146"/>
      <c r="T4" s="146"/>
      <c r="U4" s="148"/>
    </row>
    <row r="5" spans="1:21" ht="9.9499999999999993" customHeight="1" x14ac:dyDescent="0.25">
      <c r="A5" s="150"/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</row>
    <row r="6" spans="1:21" ht="5.0999999999999996" customHeight="1" x14ac:dyDescent="0.25">
      <c r="A6" s="152"/>
      <c r="B6" s="152"/>
      <c r="C6" s="152"/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2"/>
    </row>
    <row r="7" spans="1:21" s="154" customFormat="1" ht="27" customHeight="1" x14ac:dyDescent="0.25">
      <c r="A7" s="129" t="s">
        <v>528</v>
      </c>
      <c r="B7" s="130" t="str">
        <f>_xlfn.TEXTJOIN(" - ",TRUE,C2,N2,N4,C4,IF(S2="","","Work Order &gt;&gt; "&amp;S2))</f>
        <v>Basil - Organic - 0 - باسم حنا</v>
      </c>
      <c r="C7" s="139"/>
      <c r="D7" s="139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30"/>
      <c r="Q7" s="130"/>
      <c r="R7" s="130"/>
      <c r="S7" s="130"/>
      <c r="T7" s="130"/>
      <c r="U7" s="130"/>
    </row>
    <row r="8" spans="1:21" s="154" customFormat="1" ht="23.25" customHeight="1" x14ac:dyDescent="0.3">
      <c r="A8" s="131"/>
      <c r="B8" s="140"/>
      <c r="C8" s="140"/>
      <c r="D8" s="140"/>
      <c r="E8" s="132"/>
      <c r="F8" s="133"/>
      <c r="G8" s="134" t="s">
        <v>527</v>
      </c>
      <c r="H8" s="133"/>
      <c r="I8" s="133"/>
      <c r="J8" s="132"/>
      <c r="K8" s="132"/>
      <c r="L8" s="132"/>
      <c r="M8" s="135">
        <f>SUM(M10:M807)</f>
        <v>36214</v>
      </c>
      <c r="N8" s="136"/>
      <c r="O8" s="135">
        <f>SUM(O10:O807)</f>
        <v>19576.7</v>
      </c>
      <c r="P8" s="133"/>
      <c r="Q8" s="133"/>
      <c r="R8" s="137"/>
      <c r="S8" s="133"/>
      <c r="T8" s="133"/>
      <c r="U8" s="138"/>
    </row>
    <row r="9" spans="1:21" ht="52.5" customHeight="1" x14ac:dyDescent="0.25">
      <c r="A9" s="141" t="s">
        <v>194</v>
      </c>
      <c r="B9" s="142" t="s">
        <v>9</v>
      </c>
      <c r="C9" s="141" t="s">
        <v>10</v>
      </c>
      <c r="D9" s="141" t="s">
        <v>11</v>
      </c>
      <c r="E9" s="141" t="s">
        <v>12</v>
      </c>
      <c r="F9" s="141" t="s">
        <v>63</v>
      </c>
      <c r="G9" s="141" t="s">
        <v>13</v>
      </c>
      <c r="H9" s="141" t="s">
        <v>14</v>
      </c>
      <c r="I9" s="141" t="s">
        <v>15</v>
      </c>
      <c r="J9" s="141" t="s">
        <v>16</v>
      </c>
      <c r="K9" s="141" t="s">
        <v>17</v>
      </c>
      <c r="L9" s="141" t="s">
        <v>18</v>
      </c>
      <c r="M9" s="143" t="s">
        <v>19</v>
      </c>
      <c r="N9" s="144" t="s">
        <v>20</v>
      </c>
      <c r="O9" s="143" t="s">
        <v>21</v>
      </c>
      <c r="P9" s="141" t="s">
        <v>530</v>
      </c>
      <c r="Q9" s="141" t="s">
        <v>531</v>
      </c>
      <c r="R9" s="142" t="s">
        <v>529</v>
      </c>
      <c r="S9" s="141" t="s">
        <v>22</v>
      </c>
      <c r="T9" s="141" t="s">
        <v>23</v>
      </c>
      <c r="U9" s="141" t="s">
        <v>24</v>
      </c>
    </row>
    <row r="10" spans="1:21" x14ac:dyDescent="0.25">
      <c r="A10" s="104" t="str" cm="1">
        <f t="array" ref="A10:U17">IF($C$2="","",_xlfn.IFNA(_xlfn.VSTACK(
_xlfn._xlws.FILTER(Tbl_2023[],(Tbl_2023[Product]=C2)*(Tbl_2023[Release Status]=IF(LEN(N4)&gt;0,N4,Tbl_2023[Release Status]))*(Tbl_2023[Pesticide]=IF(LEN(N2)&gt;0,N2,Tbl_2023[Pesticide]))*(Tbl_2023[Supplier]=IF(LEN(C4)&gt;0,C4,Tbl_2023[Supplier]))*(Tbl_2023[Work order Num.]=IF(LEN(U2)&gt;0,U2,Tbl_2023[Work order Num.])),"N/A 2023"),
_xlfn._xlws.FILTER(Tbl_2024[],(Tbl_2024[Product]=C2)*(Tbl_2024[Release Status]=IF(LEN(N4)&gt;0,N4,Tbl_2024[Release Status]))*(Tbl_2024[Pesticide]=IF(LEN(N2)&gt;0,N2,Tbl_2024[Pesticide]))*(Tbl_2024[Supplier]=IF(LEN(C4)&gt;0,C4,Tbl_2024[Supplier]))*(Tbl_2024[Work order Num.]=IF(LEN(U2)&gt;0,U2,Tbl_2024[Work order Num.])),"N/A 2024"),
_xlfn._xlws.FILTER(Tbl_2025[],(Tbl_2025[Product]=C2)*(Tbl_2025[Release Status]=IF(LEN(N4)&gt;0,N4,Tbl_2025[Release Status]))*(Tbl_2025[Pesticide]=IF(LEN(N2)&gt;0,N2,Tbl_2025[Pesticide]))*(Tbl_2025[Supplier]=IF(LEN(C4)&gt;0,C4,Tbl_2025[Supplier]))*(Tbl_2025[Work order Num.]=IF(LEN(U2)&gt;0,U2,Tbl_2025[Work order Num.])),"N/A 2025"),
_xlfn._xlws.FILTER(Tbl_2026[],(Tbl_2026[Product]=C2)*(Tbl_2026[Release Status]=IF(LEN(N4)&gt;0,N4,Tbl_2026[Release Status]))*(Tbl_2026[Pesticide]=IF(LEN(N2)&gt;0,N2,Tbl_2026[Pesticide]))*(Tbl_2026[Supplier]=IF(LEN(C4)&gt;0,C4,Tbl_2026[Supplier]))*(Tbl_2026[Work order Num.]=IF(LEN(U2)&gt;0,U2,Tbl_2026[Work order Num.])),"N/A 2026")
),"-"))</f>
        <v>N/A 2023</v>
      </c>
      <c r="B10" s="105" t="str">
        <v>-</v>
      </c>
      <c r="C10" s="104" t="str">
        <v>-</v>
      </c>
      <c r="D10" s="104" t="str">
        <v>-</v>
      </c>
      <c r="E10" s="104" t="str">
        <v>-</v>
      </c>
      <c r="F10" s="104" t="str">
        <v>-</v>
      </c>
      <c r="G10" s="104" t="str">
        <v>-</v>
      </c>
      <c r="H10" s="104" t="str">
        <v>-</v>
      </c>
      <c r="I10" s="104" t="str">
        <v>-</v>
      </c>
      <c r="J10" s="104" t="str">
        <v>-</v>
      </c>
      <c r="K10" s="104" t="str">
        <v>-</v>
      </c>
      <c r="L10" s="104" t="str">
        <v>-</v>
      </c>
      <c r="M10" s="126" t="str">
        <v>-</v>
      </c>
      <c r="N10" s="107" t="str">
        <v>-</v>
      </c>
      <c r="O10" s="126" t="str">
        <v>-</v>
      </c>
      <c r="P10" s="104" t="str">
        <v>-</v>
      </c>
      <c r="Q10" s="104" t="str">
        <v>-</v>
      </c>
      <c r="R10" s="105" t="str">
        <v>-</v>
      </c>
      <c r="S10" s="104" t="str">
        <v>-</v>
      </c>
      <c r="T10" s="104" t="str">
        <v>-</v>
      </c>
      <c r="U10" s="128" t="str">
        <v>-</v>
      </c>
    </row>
    <row r="11" spans="1:21" x14ac:dyDescent="0.25">
      <c r="A11" s="104" t="str">
        <v>N/A 2024</v>
      </c>
      <c r="B11" s="105" t="str">
        <v>-</v>
      </c>
      <c r="C11" s="104" t="str">
        <v>-</v>
      </c>
      <c r="D11" s="104" t="str">
        <v>-</v>
      </c>
      <c r="E11" s="104" t="str">
        <v>-</v>
      </c>
      <c r="F11" s="104" t="str">
        <v>-</v>
      </c>
      <c r="G11" s="104" t="str">
        <v>-</v>
      </c>
      <c r="H11" s="104" t="str">
        <v>-</v>
      </c>
      <c r="I11" s="104" t="str">
        <v>-</v>
      </c>
      <c r="J11" s="104" t="str">
        <v>-</v>
      </c>
      <c r="K11" s="104" t="str">
        <v>-</v>
      </c>
      <c r="L11" s="104" t="str">
        <v>-</v>
      </c>
      <c r="M11" s="126" t="str">
        <v>-</v>
      </c>
      <c r="N11" s="107" t="str">
        <v>-</v>
      </c>
      <c r="O11" s="126" t="str">
        <v>-</v>
      </c>
      <c r="P11" s="104" t="str">
        <v>-</v>
      </c>
      <c r="Q11" s="104" t="str">
        <v>-</v>
      </c>
      <c r="R11" s="105" t="str">
        <v>-</v>
      </c>
      <c r="S11" s="104" t="str">
        <v>-</v>
      </c>
      <c r="T11" s="104" t="str">
        <v>-</v>
      </c>
      <c r="U11" s="128" t="str">
        <v>-</v>
      </c>
    </row>
    <row r="12" spans="1:21" x14ac:dyDescent="0.25">
      <c r="A12" s="104">
        <v>139618</v>
      </c>
      <c r="B12" s="105">
        <v>45895</v>
      </c>
      <c r="C12" s="104" t="str">
        <v>lot 2506</v>
      </c>
      <c r="D12" s="104" t="str">
        <v>باسم حنا</v>
      </c>
      <c r="E12" s="104" t="str">
        <v>Basil</v>
      </c>
      <c r="F12" s="104" t="str">
        <v>ريحان مجروش</v>
      </c>
      <c r="G12" s="104" t="str">
        <v>Organic</v>
      </c>
      <c r="H12" s="104" t="str">
        <v>Plastic Bag</v>
      </c>
      <c r="I12" s="104">
        <v>446</v>
      </c>
      <c r="J12" s="104">
        <v>10085</v>
      </c>
      <c r="K12" s="104">
        <v>100</v>
      </c>
      <c r="L12" s="104">
        <v>112</v>
      </c>
      <c r="M12" s="126">
        <v>9873</v>
      </c>
      <c r="N12" s="107">
        <v>0.5</v>
      </c>
      <c r="O12" s="126">
        <v>4936.5</v>
      </c>
      <c r="P12" s="104">
        <v>0</v>
      </c>
      <c r="Q12" s="104">
        <v>0</v>
      </c>
      <c r="R12" s="105">
        <v>0</v>
      </c>
      <c r="S12" s="104">
        <v>0</v>
      </c>
      <c r="T12" s="104" t="str">
        <v>r5</v>
      </c>
      <c r="U12" s="128" t="str">
        <v>اسيوط</v>
      </c>
    </row>
    <row r="13" spans="1:21" x14ac:dyDescent="0.25">
      <c r="A13" s="104">
        <v>139709</v>
      </c>
      <c r="B13" s="105">
        <v>45935</v>
      </c>
      <c r="C13" s="104" t="str">
        <v>lot 2508</v>
      </c>
      <c r="D13" s="104" t="str">
        <v>باسم حنا</v>
      </c>
      <c r="E13" s="104" t="str">
        <v>Basil</v>
      </c>
      <c r="F13" s="104" t="str">
        <v>ريحان مجروش</v>
      </c>
      <c r="G13" s="104" t="str">
        <v>Organic</v>
      </c>
      <c r="H13" s="104" t="str">
        <v>Plastic Bag</v>
      </c>
      <c r="I13" s="104">
        <v>450</v>
      </c>
      <c r="J13" s="104">
        <v>9545</v>
      </c>
      <c r="K13" s="104">
        <v>100</v>
      </c>
      <c r="L13" s="104">
        <v>113</v>
      </c>
      <c r="M13" s="126">
        <v>9332</v>
      </c>
      <c r="N13" s="107">
        <v>0.53</v>
      </c>
      <c r="O13" s="126">
        <v>4945.96</v>
      </c>
      <c r="P13" s="104">
        <v>0</v>
      </c>
      <c r="Q13" s="104">
        <v>0</v>
      </c>
      <c r="R13" s="105">
        <v>0</v>
      </c>
      <c r="S13" s="104">
        <v>0</v>
      </c>
      <c r="T13" s="104" t="str">
        <v>r2</v>
      </c>
      <c r="U13" s="128" t="str">
        <v>اسيوط</v>
      </c>
    </row>
    <row r="14" spans="1:21" ht="78.75" x14ac:dyDescent="0.25">
      <c r="A14" s="104">
        <v>139847</v>
      </c>
      <c r="B14" s="105">
        <v>46000</v>
      </c>
      <c r="C14" s="104" t="str">
        <v>lot 2518</v>
      </c>
      <c r="D14" s="104" t="str">
        <v>باسم حنا</v>
      </c>
      <c r="E14" s="104" t="str">
        <v>Basil</v>
      </c>
      <c r="F14" s="104" t="str">
        <v>ريحان مجروش</v>
      </c>
      <c r="G14" s="104" t="str">
        <v>Organic</v>
      </c>
      <c r="H14" s="104" t="str">
        <v>Plastic Bag</v>
      </c>
      <c r="I14" s="104">
        <v>318</v>
      </c>
      <c r="J14" s="104">
        <v>5385</v>
      </c>
      <c r="K14" s="104">
        <v>50</v>
      </c>
      <c r="L14" s="104">
        <v>80</v>
      </c>
      <c r="M14" s="126">
        <v>5255</v>
      </c>
      <c r="N14" s="107">
        <v>0.58399999999999996</v>
      </c>
      <c r="O14" s="126">
        <v>3068.9199999999996</v>
      </c>
      <c r="P14" s="104">
        <v>0</v>
      </c>
      <c r="Q14" s="104">
        <v>0</v>
      </c>
      <c r="R14" s="105">
        <v>0</v>
      </c>
      <c r="S14" s="104" t="str">
        <v>14+</v>
      </c>
      <c r="T14" s="104" t="str">
        <v>r2</v>
      </c>
      <c r="U14" s="128" t="str">
        <v xml:space="preserve">تم صرف للانتاج 55 ش بوزن 851 ك قبل النسبه وبعد النسبه496 ك يوم 21-1-2026  اذن 2925 امر 14 /تم صرف 77ش قبل 1329 ك وبعد النسبه 776 ك اذن 2943 يوم 4/2/2026 امر14/ </v>
      </c>
    </row>
    <row r="15" spans="1:21" x14ac:dyDescent="0.25">
      <c r="A15" s="104">
        <v>139853</v>
      </c>
      <c r="B15" s="105">
        <v>46002</v>
      </c>
      <c r="C15" s="104" t="str">
        <v>lot 2519</v>
      </c>
      <c r="D15" s="104" t="str">
        <v>باسم حنا</v>
      </c>
      <c r="E15" s="104" t="str">
        <v>Basil</v>
      </c>
      <c r="F15" s="104" t="str">
        <v>ريحان مجروش</v>
      </c>
      <c r="G15" s="104" t="str">
        <v>Organic</v>
      </c>
      <c r="H15" s="104" t="str">
        <v>Plastic Bag</v>
      </c>
      <c r="I15" s="104">
        <v>283</v>
      </c>
      <c r="J15" s="104">
        <v>5875</v>
      </c>
      <c r="K15" s="104">
        <v>50</v>
      </c>
      <c r="L15" s="104">
        <v>71</v>
      </c>
      <c r="M15" s="126">
        <v>5754</v>
      </c>
      <c r="N15" s="107">
        <v>0.57999999999999996</v>
      </c>
      <c r="O15" s="126">
        <v>3337.3199999999997</v>
      </c>
      <c r="P15" s="104">
        <v>0</v>
      </c>
      <c r="Q15" s="104">
        <v>0</v>
      </c>
      <c r="R15" s="105">
        <v>0</v>
      </c>
      <c r="S15" s="104">
        <v>0</v>
      </c>
      <c r="T15" s="104" t="str">
        <v>r5</v>
      </c>
      <c r="U15" s="128">
        <v>0</v>
      </c>
    </row>
    <row r="16" spans="1:21" x14ac:dyDescent="0.25">
      <c r="A16" s="104">
        <v>139868</v>
      </c>
      <c r="B16" s="105">
        <v>46006</v>
      </c>
      <c r="C16" s="104" t="str">
        <v>lot 2520</v>
      </c>
      <c r="D16" s="104" t="str">
        <v>باسم حنا</v>
      </c>
      <c r="E16" s="104" t="str">
        <v>Basil</v>
      </c>
      <c r="F16" s="104" t="str">
        <v>ريحان مجروش</v>
      </c>
      <c r="G16" s="104" t="str">
        <v>Organic</v>
      </c>
      <c r="H16" s="104" t="str">
        <v>Plastic Bag</v>
      </c>
      <c r="I16" s="104">
        <v>278</v>
      </c>
      <c r="J16" s="104">
        <v>6120</v>
      </c>
      <c r="K16" s="104">
        <v>50</v>
      </c>
      <c r="L16" s="104">
        <v>70</v>
      </c>
      <c r="M16" s="126">
        <v>6000</v>
      </c>
      <c r="N16" s="107">
        <v>0.54800000000000004</v>
      </c>
      <c r="O16" s="126">
        <v>3288.0000000000005</v>
      </c>
      <c r="P16" s="104">
        <v>0</v>
      </c>
      <c r="Q16" s="104">
        <v>0</v>
      </c>
      <c r="R16" s="105">
        <v>0</v>
      </c>
      <c r="S16" s="104">
        <v>0</v>
      </c>
      <c r="T16" s="104" t="str">
        <v>r5</v>
      </c>
      <c r="U16" s="128" t="str">
        <v>اسيوط</v>
      </c>
    </row>
    <row r="17" spans="1:21" x14ac:dyDescent="0.25">
      <c r="A17" s="104" t="str">
        <v>N/A 2026</v>
      </c>
      <c r="B17" s="105" t="str">
        <v>-</v>
      </c>
      <c r="C17" s="104" t="str">
        <v>-</v>
      </c>
      <c r="D17" s="104" t="str">
        <v>-</v>
      </c>
      <c r="E17" s="104" t="str">
        <v>-</v>
      </c>
      <c r="F17" s="104" t="str">
        <v>-</v>
      </c>
      <c r="G17" s="104" t="str">
        <v>-</v>
      </c>
      <c r="H17" s="104" t="str">
        <v>-</v>
      </c>
      <c r="I17" s="104" t="str">
        <v>-</v>
      </c>
      <c r="J17" s="104" t="str">
        <v>-</v>
      </c>
      <c r="K17" s="104" t="str">
        <v>-</v>
      </c>
      <c r="L17" s="104" t="str">
        <v>-</v>
      </c>
      <c r="M17" s="126" t="str">
        <v>-</v>
      </c>
      <c r="N17" s="107" t="str">
        <v>-</v>
      </c>
      <c r="O17" s="126" t="str">
        <v>-</v>
      </c>
      <c r="P17" s="104" t="str">
        <v>-</v>
      </c>
      <c r="Q17" s="104" t="str">
        <v>-</v>
      </c>
      <c r="R17" s="105" t="str">
        <v>-</v>
      </c>
      <c r="S17" s="104" t="str">
        <v>-</v>
      </c>
      <c r="T17" s="104" t="str">
        <v>-</v>
      </c>
      <c r="U17" s="128" t="str">
        <v>-</v>
      </c>
    </row>
    <row r="18" spans="1:21" x14ac:dyDescent="0.25">
      <c r="M18" s="126"/>
      <c r="N18" s="107"/>
      <c r="O18" s="126"/>
    </row>
    <row r="19" spans="1:21" x14ac:dyDescent="0.25">
      <c r="M19" s="126"/>
      <c r="N19" s="107"/>
      <c r="O19" s="126"/>
    </row>
    <row r="20" spans="1:21" x14ac:dyDescent="0.25">
      <c r="M20" s="126"/>
      <c r="N20" s="107"/>
      <c r="O20" s="126"/>
    </row>
    <row r="21" spans="1:21" x14ac:dyDescent="0.25">
      <c r="M21" s="126"/>
      <c r="N21" s="107"/>
      <c r="O21" s="126"/>
    </row>
    <row r="22" spans="1:21" x14ac:dyDescent="0.25">
      <c r="M22" s="126"/>
      <c r="N22" s="107"/>
      <c r="O22" s="126"/>
    </row>
    <row r="23" spans="1:21" x14ac:dyDescent="0.25">
      <c r="M23" s="126"/>
      <c r="N23" s="107"/>
      <c r="O23" s="126"/>
    </row>
    <row r="24" spans="1:21" x14ac:dyDescent="0.25">
      <c r="M24" s="126"/>
      <c r="N24" s="107"/>
      <c r="O24" s="126"/>
    </row>
    <row r="25" spans="1:21" x14ac:dyDescent="0.25">
      <c r="M25" s="126"/>
      <c r="N25" s="107"/>
      <c r="O25" s="126"/>
    </row>
    <row r="26" spans="1:21" x14ac:dyDescent="0.25">
      <c r="M26" s="126"/>
      <c r="N26" s="107"/>
      <c r="O26" s="126"/>
    </row>
    <row r="27" spans="1:21" x14ac:dyDescent="0.25">
      <c r="M27" s="126"/>
      <c r="N27" s="107"/>
      <c r="O27" s="126"/>
    </row>
    <row r="28" spans="1:21" x14ac:dyDescent="0.25">
      <c r="M28" s="126"/>
      <c r="N28" s="107"/>
      <c r="O28" s="126"/>
    </row>
    <row r="29" spans="1:21" x14ac:dyDescent="0.25">
      <c r="M29" s="126"/>
      <c r="N29" s="107"/>
      <c r="O29" s="126"/>
    </row>
    <row r="30" spans="1:21" x14ac:dyDescent="0.25">
      <c r="M30" s="126"/>
      <c r="N30" s="107"/>
      <c r="O30" s="126"/>
    </row>
    <row r="31" spans="1:21" x14ac:dyDescent="0.25">
      <c r="M31" s="126"/>
      <c r="N31" s="107"/>
      <c r="O31" s="126"/>
    </row>
    <row r="32" spans="1:21" x14ac:dyDescent="0.25">
      <c r="M32" s="126"/>
      <c r="N32" s="107"/>
      <c r="O32" s="126"/>
    </row>
    <row r="33" spans="13:15" x14ac:dyDescent="0.25">
      <c r="M33" s="126"/>
      <c r="N33" s="107"/>
      <c r="O33" s="126"/>
    </row>
    <row r="34" spans="13:15" x14ac:dyDescent="0.25">
      <c r="M34" s="126"/>
      <c r="N34" s="107"/>
      <c r="O34" s="126"/>
    </row>
    <row r="35" spans="13:15" x14ac:dyDescent="0.25">
      <c r="M35" s="126"/>
      <c r="N35" s="107"/>
      <c r="O35" s="126"/>
    </row>
    <row r="36" spans="13:15" x14ac:dyDescent="0.25">
      <c r="M36" s="126"/>
      <c r="N36" s="107"/>
      <c r="O36" s="126"/>
    </row>
    <row r="37" spans="13:15" x14ac:dyDescent="0.25">
      <c r="M37" s="126"/>
      <c r="N37" s="107"/>
      <c r="O37" s="126"/>
    </row>
    <row r="38" spans="13:15" x14ac:dyDescent="0.25">
      <c r="M38" s="126"/>
      <c r="N38" s="107"/>
      <c r="O38" s="126"/>
    </row>
    <row r="39" spans="13:15" x14ac:dyDescent="0.25">
      <c r="M39" s="126"/>
      <c r="N39" s="107"/>
      <c r="O39" s="126"/>
    </row>
    <row r="40" spans="13:15" x14ac:dyDescent="0.25">
      <c r="M40" s="126"/>
      <c r="N40" s="107"/>
      <c r="O40" s="126"/>
    </row>
    <row r="41" spans="13:15" x14ac:dyDescent="0.25">
      <c r="M41" s="126"/>
      <c r="N41" s="107"/>
      <c r="O41" s="126"/>
    </row>
    <row r="42" spans="13:15" x14ac:dyDescent="0.25">
      <c r="M42" s="126"/>
      <c r="N42" s="107"/>
      <c r="O42" s="126"/>
    </row>
    <row r="43" spans="13:15" x14ac:dyDescent="0.25">
      <c r="M43" s="126"/>
      <c r="N43" s="107"/>
      <c r="O43" s="126"/>
    </row>
    <row r="44" spans="13:15" x14ac:dyDescent="0.25">
      <c r="M44" s="126"/>
      <c r="N44" s="107"/>
      <c r="O44" s="126"/>
    </row>
    <row r="45" spans="13:15" x14ac:dyDescent="0.25">
      <c r="M45" s="126"/>
      <c r="N45" s="107"/>
      <c r="O45" s="126"/>
    </row>
    <row r="46" spans="13:15" x14ac:dyDescent="0.25">
      <c r="M46" s="126"/>
      <c r="N46" s="107"/>
      <c r="O46" s="126"/>
    </row>
    <row r="47" spans="13:15" x14ac:dyDescent="0.25">
      <c r="M47" s="126"/>
      <c r="N47" s="107"/>
      <c r="O47" s="126"/>
    </row>
    <row r="48" spans="13:15" x14ac:dyDescent="0.25">
      <c r="M48" s="126"/>
      <c r="N48" s="107"/>
      <c r="O48" s="126"/>
    </row>
    <row r="49" spans="13:15" x14ac:dyDescent="0.25">
      <c r="M49" s="126"/>
      <c r="N49" s="107"/>
      <c r="O49" s="126"/>
    </row>
    <row r="50" spans="13:15" x14ac:dyDescent="0.25">
      <c r="M50" s="126"/>
      <c r="N50" s="107"/>
      <c r="O50" s="126"/>
    </row>
    <row r="51" spans="13:15" x14ac:dyDescent="0.25">
      <c r="M51" s="126"/>
      <c r="N51" s="107"/>
      <c r="O51" s="126"/>
    </row>
    <row r="52" spans="13:15" x14ac:dyDescent="0.25">
      <c r="M52" s="126"/>
      <c r="N52" s="107"/>
      <c r="O52" s="126"/>
    </row>
    <row r="53" spans="13:15" x14ac:dyDescent="0.25">
      <c r="M53" s="126"/>
      <c r="N53" s="107"/>
      <c r="O53" s="126"/>
    </row>
    <row r="54" spans="13:15" x14ac:dyDescent="0.25">
      <c r="M54" s="126"/>
      <c r="N54" s="107"/>
      <c r="O54" s="126"/>
    </row>
    <row r="55" spans="13:15" x14ac:dyDescent="0.25">
      <c r="M55" s="126"/>
      <c r="N55" s="107"/>
      <c r="O55" s="126"/>
    </row>
    <row r="56" spans="13:15" x14ac:dyDescent="0.25">
      <c r="M56" s="126"/>
      <c r="N56" s="107"/>
      <c r="O56" s="126"/>
    </row>
    <row r="57" spans="13:15" x14ac:dyDescent="0.25">
      <c r="M57" s="126"/>
      <c r="N57" s="107"/>
      <c r="O57" s="126"/>
    </row>
    <row r="58" spans="13:15" x14ac:dyDescent="0.25">
      <c r="M58" s="126"/>
      <c r="N58" s="107"/>
      <c r="O58" s="126"/>
    </row>
    <row r="59" spans="13:15" x14ac:dyDescent="0.25">
      <c r="M59" s="126"/>
      <c r="N59" s="107"/>
      <c r="O59" s="126"/>
    </row>
    <row r="60" spans="13:15" x14ac:dyDescent="0.25">
      <c r="M60" s="126"/>
      <c r="N60" s="107"/>
      <c r="O60" s="126"/>
    </row>
    <row r="61" spans="13:15" x14ac:dyDescent="0.25">
      <c r="M61" s="126"/>
      <c r="N61" s="107"/>
      <c r="O61" s="126"/>
    </row>
    <row r="62" spans="13:15" x14ac:dyDescent="0.25">
      <c r="M62" s="126"/>
      <c r="N62" s="107"/>
      <c r="O62" s="126"/>
    </row>
    <row r="63" spans="13:15" x14ac:dyDescent="0.25">
      <c r="M63" s="126"/>
      <c r="N63" s="107"/>
      <c r="O63" s="126"/>
    </row>
    <row r="64" spans="13:15" x14ac:dyDescent="0.25">
      <c r="M64" s="126"/>
      <c r="N64" s="107"/>
      <c r="O64" s="126"/>
    </row>
    <row r="65" spans="13:15" x14ac:dyDescent="0.25">
      <c r="M65" s="126"/>
      <c r="N65" s="107"/>
      <c r="O65" s="126"/>
    </row>
    <row r="66" spans="13:15" x14ac:dyDescent="0.25">
      <c r="M66" s="126"/>
      <c r="N66" s="107"/>
      <c r="O66" s="126"/>
    </row>
    <row r="67" spans="13:15" x14ac:dyDescent="0.25">
      <c r="M67" s="126"/>
      <c r="N67" s="107"/>
      <c r="O67" s="126"/>
    </row>
    <row r="68" spans="13:15" x14ac:dyDescent="0.25">
      <c r="M68" s="126"/>
      <c r="N68" s="107"/>
      <c r="O68" s="126"/>
    </row>
    <row r="69" spans="13:15" x14ac:dyDescent="0.25">
      <c r="M69" s="126"/>
      <c r="N69" s="107"/>
      <c r="O69" s="126"/>
    </row>
    <row r="70" spans="13:15" x14ac:dyDescent="0.25">
      <c r="M70" s="126"/>
      <c r="N70" s="107"/>
      <c r="O70" s="126"/>
    </row>
    <row r="71" spans="13:15" x14ac:dyDescent="0.25">
      <c r="M71" s="126"/>
      <c r="N71" s="107"/>
      <c r="O71" s="126"/>
    </row>
    <row r="72" spans="13:15" x14ac:dyDescent="0.25">
      <c r="M72" s="126"/>
      <c r="N72" s="107"/>
      <c r="O72" s="126"/>
    </row>
    <row r="73" spans="13:15" x14ac:dyDescent="0.25">
      <c r="M73" s="126"/>
      <c r="N73" s="107"/>
      <c r="O73" s="126"/>
    </row>
    <row r="74" spans="13:15" x14ac:dyDescent="0.25">
      <c r="M74" s="126"/>
      <c r="N74" s="107"/>
      <c r="O74" s="126"/>
    </row>
    <row r="75" spans="13:15" x14ac:dyDescent="0.25">
      <c r="M75" s="126"/>
      <c r="N75" s="107"/>
      <c r="O75" s="126"/>
    </row>
    <row r="76" spans="13:15" x14ac:dyDescent="0.25">
      <c r="M76" s="126"/>
      <c r="N76" s="107"/>
      <c r="O76" s="126"/>
    </row>
    <row r="77" spans="13:15" x14ac:dyDescent="0.25">
      <c r="M77" s="126"/>
      <c r="N77" s="107"/>
      <c r="O77" s="126"/>
    </row>
    <row r="78" spans="13:15" x14ac:dyDescent="0.25">
      <c r="M78" s="126"/>
      <c r="N78" s="107"/>
      <c r="O78" s="126"/>
    </row>
    <row r="79" spans="13:15" x14ac:dyDescent="0.25">
      <c r="M79" s="126"/>
      <c r="N79" s="107"/>
      <c r="O79" s="126"/>
    </row>
    <row r="80" spans="13:15" x14ac:dyDescent="0.25">
      <c r="M80" s="126"/>
      <c r="N80" s="107"/>
      <c r="O80" s="126"/>
    </row>
    <row r="81" spans="13:15" x14ac:dyDescent="0.25">
      <c r="M81" s="126"/>
      <c r="N81" s="107"/>
      <c r="O81" s="126"/>
    </row>
    <row r="82" spans="13:15" x14ac:dyDescent="0.25">
      <c r="M82" s="126"/>
      <c r="N82" s="107"/>
      <c r="O82" s="126"/>
    </row>
    <row r="83" spans="13:15" x14ac:dyDescent="0.25">
      <c r="M83" s="126"/>
      <c r="N83" s="107"/>
      <c r="O83" s="126"/>
    </row>
    <row r="84" spans="13:15" x14ac:dyDescent="0.25">
      <c r="M84" s="126"/>
      <c r="N84" s="107"/>
      <c r="O84" s="126"/>
    </row>
    <row r="85" spans="13:15" x14ac:dyDescent="0.25">
      <c r="M85" s="126"/>
      <c r="N85" s="107"/>
      <c r="O85" s="126"/>
    </row>
    <row r="86" spans="13:15" x14ac:dyDescent="0.25">
      <c r="M86" s="126"/>
      <c r="N86" s="107"/>
      <c r="O86" s="126"/>
    </row>
    <row r="87" spans="13:15" x14ac:dyDescent="0.25">
      <c r="M87" s="126"/>
      <c r="N87" s="107"/>
      <c r="O87" s="126"/>
    </row>
    <row r="88" spans="13:15" x14ac:dyDescent="0.25">
      <c r="M88" s="126"/>
      <c r="N88" s="107"/>
      <c r="O88" s="126"/>
    </row>
    <row r="89" spans="13:15" x14ac:dyDescent="0.25">
      <c r="M89" s="126"/>
      <c r="N89" s="107"/>
      <c r="O89" s="126"/>
    </row>
    <row r="90" spans="13:15" x14ac:dyDescent="0.25">
      <c r="M90" s="126"/>
      <c r="N90" s="107"/>
      <c r="O90" s="126"/>
    </row>
    <row r="91" spans="13:15" x14ac:dyDescent="0.25">
      <c r="M91" s="126"/>
      <c r="N91" s="107"/>
      <c r="O91" s="126"/>
    </row>
    <row r="92" spans="13:15" x14ac:dyDescent="0.25">
      <c r="M92" s="126"/>
      <c r="N92" s="107"/>
      <c r="O92" s="126"/>
    </row>
    <row r="93" spans="13:15" x14ac:dyDescent="0.25">
      <c r="M93" s="126"/>
      <c r="N93" s="107"/>
      <c r="O93" s="126"/>
    </row>
    <row r="94" spans="13:15" x14ac:dyDescent="0.25">
      <c r="M94" s="126"/>
      <c r="N94" s="107"/>
      <c r="O94" s="126"/>
    </row>
    <row r="95" spans="13:15" x14ac:dyDescent="0.25">
      <c r="M95" s="126"/>
      <c r="N95" s="107"/>
      <c r="O95" s="126"/>
    </row>
    <row r="96" spans="13:15" x14ac:dyDescent="0.25">
      <c r="M96" s="126"/>
      <c r="N96" s="107"/>
      <c r="O96" s="126"/>
    </row>
    <row r="97" spans="13:15" x14ac:dyDescent="0.25">
      <c r="M97" s="126"/>
      <c r="N97" s="107"/>
      <c r="O97" s="126"/>
    </row>
    <row r="98" spans="13:15" x14ac:dyDescent="0.25">
      <c r="M98" s="126"/>
      <c r="N98" s="107"/>
      <c r="O98" s="126"/>
    </row>
    <row r="99" spans="13:15" x14ac:dyDescent="0.25">
      <c r="M99" s="126"/>
      <c r="N99" s="107"/>
      <c r="O99" s="126"/>
    </row>
    <row r="100" spans="13:15" x14ac:dyDescent="0.25">
      <c r="M100" s="126"/>
      <c r="N100" s="107"/>
      <c r="O100" s="126"/>
    </row>
    <row r="101" spans="13:15" x14ac:dyDescent="0.25">
      <c r="M101" s="126"/>
      <c r="N101" s="107"/>
      <c r="O101" s="126"/>
    </row>
    <row r="102" spans="13:15" x14ac:dyDescent="0.25">
      <c r="M102" s="126"/>
      <c r="N102" s="107"/>
      <c r="O102" s="126"/>
    </row>
    <row r="103" spans="13:15" x14ac:dyDescent="0.25">
      <c r="M103" s="126"/>
      <c r="N103" s="107"/>
      <c r="O103" s="126"/>
    </row>
    <row r="104" spans="13:15" x14ac:dyDescent="0.25">
      <c r="M104" s="126"/>
      <c r="N104" s="107"/>
      <c r="O104" s="126"/>
    </row>
    <row r="105" spans="13:15" x14ac:dyDescent="0.25">
      <c r="M105" s="126"/>
      <c r="N105" s="107"/>
      <c r="O105" s="126"/>
    </row>
    <row r="106" spans="13:15" x14ac:dyDescent="0.25">
      <c r="M106" s="126"/>
      <c r="N106" s="107"/>
      <c r="O106" s="126"/>
    </row>
    <row r="107" spans="13:15" x14ac:dyDescent="0.25">
      <c r="M107" s="126"/>
      <c r="N107" s="107"/>
      <c r="O107" s="126"/>
    </row>
    <row r="108" spans="13:15" x14ac:dyDescent="0.25">
      <c r="M108" s="126"/>
      <c r="N108" s="107"/>
      <c r="O108" s="126"/>
    </row>
    <row r="109" spans="13:15" x14ac:dyDescent="0.25">
      <c r="M109" s="126"/>
      <c r="N109" s="107"/>
      <c r="O109" s="126"/>
    </row>
    <row r="110" spans="13:15" x14ac:dyDescent="0.25">
      <c r="M110" s="126"/>
      <c r="N110" s="107"/>
      <c r="O110" s="126"/>
    </row>
    <row r="111" spans="13:15" x14ac:dyDescent="0.25">
      <c r="M111" s="126"/>
      <c r="N111" s="107"/>
      <c r="O111" s="126"/>
    </row>
    <row r="112" spans="13:15" x14ac:dyDescent="0.25">
      <c r="M112" s="126"/>
      <c r="N112" s="107"/>
      <c r="O112" s="126"/>
    </row>
    <row r="113" spans="13:15" x14ac:dyDescent="0.25">
      <c r="M113" s="126"/>
      <c r="N113" s="107"/>
      <c r="O113" s="126"/>
    </row>
    <row r="114" spans="13:15" x14ac:dyDescent="0.25">
      <c r="M114" s="126"/>
      <c r="N114" s="107"/>
      <c r="O114" s="126"/>
    </row>
    <row r="115" spans="13:15" x14ac:dyDescent="0.25">
      <c r="M115" s="126"/>
      <c r="N115" s="107"/>
      <c r="O115" s="126"/>
    </row>
    <row r="116" spans="13:15" x14ac:dyDescent="0.25">
      <c r="M116" s="126"/>
      <c r="N116" s="107"/>
      <c r="O116" s="126"/>
    </row>
    <row r="117" spans="13:15" x14ac:dyDescent="0.25">
      <c r="M117" s="126"/>
      <c r="N117" s="107"/>
      <c r="O117" s="126"/>
    </row>
    <row r="118" spans="13:15" x14ac:dyDescent="0.25">
      <c r="M118" s="126"/>
      <c r="N118" s="107"/>
      <c r="O118" s="126"/>
    </row>
    <row r="119" spans="13:15" x14ac:dyDescent="0.25">
      <c r="M119" s="126"/>
      <c r="N119" s="107"/>
      <c r="O119" s="126"/>
    </row>
    <row r="120" spans="13:15" x14ac:dyDescent="0.25">
      <c r="M120" s="126"/>
      <c r="N120" s="107"/>
      <c r="O120" s="126"/>
    </row>
    <row r="121" spans="13:15" x14ac:dyDescent="0.25">
      <c r="M121" s="126"/>
      <c r="N121" s="107"/>
      <c r="O121" s="126"/>
    </row>
    <row r="122" spans="13:15" x14ac:dyDescent="0.25">
      <c r="M122" s="126"/>
      <c r="N122" s="107"/>
      <c r="O122" s="126"/>
    </row>
    <row r="123" spans="13:15" x14ac:dyDescent="0.25">
      <c r="M123" s="126"/>
      <c r="N123" s="107"/>
      <c r="O123" s="126"/>
    </row>
    <row r="124" spans="13:15" x14ac:dyDescent="0.25">
      <c r="M124" s="126"/>
      <c r="N124" s="107"/>
      <c r="O124" s="126"/>
    </row>
    <row r="125" spans="13:15" x14ac:dyDescent="0.25">
      <c r="M125" s="126"/>
      <c r="N125" s="107"/>
      <c r="O125" s="126"/>
    </row>
    <row r="126" spans="13:15" x14ac:dyDescent="0.25">
      <c r="M126" s="126"/>
      <c r="N126" s="107"/>
      <c r="O126" s="126"/>
    </row>
    <row r="127" spans="13:15" x14ac:dyDescent="0.25">
      <c r="M127" s="126"/>
      <c r="N127" s="107"/>
      <c r="O127" s="126"/>
    </row>
    <row r="128" spans="13:15" x14ac:dyDescent="0.25">
      <c r="M128" s="126"/>
      <c r="N128" s="107"/>
      <c r="O128" s="126"/>
    </row>
    <row r="129" spans="13:15" x14ac:dyDescent="0.25">
      <c r="M129" s="126"/>
      <c r="N129" s="107"/>
      <c r="O129" s="126"/>
    </row>
    <row r="130" spans="13:15" x14ac:dyDescent="0.25">
      <c r="M130" s="126"/>
      <c r="N130" s="107"/>
      <c r="O130" s="126"/>
    </row>
    <row r="131" spans="13:15" x14ac:dyDescent="0.25">
      <c r="M131" s="126"/>
      <c r="N131" s="107"/>
      <c r="O131" s="126"/>
    </row>
    <row r="132" spans="13:15" x14ac:dyDescent="0.25">
      <c r="M132" s="126"/>
      <c r="N132" s="107"/>
      <c r="O132" s="126"/>
    </row>
    <row r="133" spans="13:15" x14ac:dyDescent="0.25">
      <c r="M133" s="126"/>
      <c r="N133" s="107"/>
      <c r="O133" s="126"/>
    </row>
    <row r="134" spans="13:15" x14ac:dyDescent="0.25">
      <c r="M134" s="126"/>
      <c r="N134" s="107"/>
      <c r="O134" s="126"/>
    </row>
    <row r="135" spans="13:15" x14ac:dyDescent="0.25">
      <c r="M135" s="126"/>
      <c r="N135" s="107"/>
      <c r="O135" s="126"/>
    </row>
    <row r="136" spans="13:15" x14ac:dyDescent="0.25">
      <c r="M136" s="126"/>
      <c r="N136" s="107"/>
      <c r="O136" s="126"/>
    </row>
    <row r="137" spans="13:15" x14ac:dyDescent="0.25">
      <c r="M137" s="126"/>
      <c r="N137" s="107"/>
      <c r="O137" s="126"/>
    </row>
    <row r="138" spans="13:15" x14ac:dyDescent="0.25">
      <c r="M138" s="126"/>
      <c r="N138" s="107"/>
      <c r="O138" s="126"/>
    </row>
    <row r="139" spans="13:15" x14ac:dyDescent="0.25">
      <c r="M139" s="126"/>
      <c r="N139" s="107"/>
      <c r="O139" s="126"/>
    </row>
    <row r="140" spans="13:15" x14ac:dyDescent="0.25">
      <c r="M140" s="126"/>
      <c r="N140" s="107"/>
      <c r="O140" s="126"/>
    </row>
    <row r="141" spans="13:15" x14ac:dyDescent="0.25">
      <c r="M141" s="126"/>
      <c r="N141" s="107"/>
      <c r="O141" s="126"/>
    </row>
    <row r="142" spans="13:15" x14ac:dyDescent="0.25">
      <c r="M142" s="126"/>
      <c r="N142" s="107"/>
      <c r="O142" s="126"/>
    </row>
    <row r="143" spans="13:15" x14ac:dyDescent="0.25">
      <c r="M143" s="126"/>
      <c r="N143" s="107"/>
      <c r="O143" s="126"/>
    </row>
    <row r="144" spans="13:15" x14ac:dyDescent="0.25">
      <c r="M144" s="126"/>
      <c r="N144" s="107"/>
      <c r="O144" s="126"/>
    </row>
    <row r="145" spans="13:15" x14ac:dyDescent="0.25">
      <c r="M145" s="126"/>
      <c r="N145" s="107"/>
      <c r="O145" s="126"/>
    </row>
    <row r="146" spans="13:15" x14ac:dyDescent="0.25">
      <c r="M146" s="126"/>
      <c r="N146" s="107"/>
      <c r="O146" s="126"/>
    </row>
    <row r="147" spans="13:15" x14ac:dyDescent="0.25">
      <c r="M147" s="126"/>
      <c r="N147" s="107"/>
      <c r="O147" s="126"/>
    </row>
    <row r="148" spans="13:15" x14ac:dyDescent="0.25">
      <c r="M148" s="126"/>
      <c r="N148" s="107"/>
      <c r="O148" s="126"/>
    </row>
    <row r="149" spans="13:15" x14ac:dyDescent="0.25">
      <c r="M149" s="126"/>
      <c r="N149" s="107"/>
      <c r="O149" s="126"/>
    </row>
    <row r="150" spans="13:15" x14ac:dyDescent="0.25">
      <c r="M150" s="126"/>
      <c r="N150" s="107"/>
      <c r="O150" s="126"/>
    </row>
    <row r="151" spans="13:15" x14ac:dyDescent="0.25">
      <c r="M151" s="126"/>
      <c r="N151" s="107"/>
      <c r="O151" s="126"/>
    </row>
    <row r="152" spans="13:15" x14ac:dyDescent="0.25">
      <c r="M152" s="126"/>
      <c r="N152" s="107"/>
      <c r="O152" s="126"/>
    </row>
    <row r="153" spans="13:15" x14ac:dyDescent="0.25">
      <c r="M153" s="126"/>
      <c r="N153" s="107"/>
      <c r="O153" s="126"/>
    </row>
    <row r="154" spans="13:15" x14ac:dyDescent="0.25">
      <c r="M154" s="126"/>
      <c r="N154" s="107"/>
      <c r="O154" s="126"/>
    </row>
    <row r="155" spans="13:15" x14ac:dyDescent="0.25">
      <c r="M155" s="126"/>
      <c r="N155" s="107"/>
      <c r="O155" s="126"/>
    </row>
    <row r="156" spans="13:15" x14ac:dyDescent="0.25">
      <c r="M156" s="126"/>
      <c r="N156" s="107"/>
      <c r="O156" s="126"/>
    </row>
    <row r="157" spans="13:15" x14ac:dyDescent="0.25">
      <c r="M157" s="126"/>
      <c r="N157" s="107"/>
      <c r="O157" s="126"/>
    </row>
    <row r="158" spans="13:15" x14ac:dyDescent="0.25">
      <c r="M158" s="126"/>
      <c r="N158" s="107"/>
      <c r="O158" s="126"/>
    </row>
    <row r="159" spans="13:15" x14ac:dyDescent="0.25">
      <c r="M159" s="126"/>
      <c r="N159" s="107"/>
      <c r="O159" s="126"/>
    </row>
    <row r="160" spans="13:15" x14ac:dyDescent="0.25">
      <c r="M160" s="126"/>
      <c r="N160" s="107"/>
      <c r="O160" s="126"/>
    </row>
    <row r="161" spans="13:15" x14ac:dyDescent="0.25">
      <c r="M161" s="126"/>
      <c r="N161" s="107"/>
      <c r="O161" s="126"/>
    </row>
    <row r="162" spans="13:15" x14ac:dyDescent="0.25">
      <c r="M162" s="126"/>
      <c r="N162" s="107"/>
      <c r="O162" s="126"/>
    </row>
    <row r="163" spans="13:15" x14ac:dyDescent="0.25">
      <c r="M163" s="126"/>
      <c r="N163" s="107"/>
      <c r="O163" s="126"/>
    </row>
    <row r="164" spans="13:15" x14ac:dyDescent="0.25">
      <c r="M164" s="126"/>
      <c r="N164" s="107"/>
      <c r="O164" s="126"/>
    </row>
    <row r="165" spans="13:15" x14ac:dyDescent="0.25">
      <c r="M165" s="126"/>
      <c r="N165" s="107"/>
      <c r="O165" s="126"/>
    </row>
    <row r="166" spans="13:15" x14ac:dyDescent="0.25">
      <c r="M166" s="126"/>
      <c r="N166" s="107"/>
      <c r="O166" s="126"/>
    </row>
    <row r="167" spans="13:15" x14ac:dyDescent="0.25">
      <c r="M167" s="126"/>
      <c r="N167" s="107"/>
      <c r="O167" s="126"/>
    </row>
    <row r="168" spans="13:15" x14ac:dyDescent="0.25">
      <c r="M168" s="126"/>
      <c r="N168" s="107"/>
      <c r="O168" s="126"/>
    </row>
    <row r="169" spans="13:15" x14ac:dyDescent="0.25">
      <c r="M169" s="126"/>
      <c r="N169" s="107"/>
      <c r="O169" s="126"/>
    </row>
    <row r="170" spans="13:15" x14ac:dyDescent="0.25">
      <c r="M170" s="126"/>
      <c r="N170" s="107"/>
      <c r="O170" s="126"/>
    </row>
    <row r="171" spans="13:15" x14ac:dyDescent="0.25">
      <c r="M171" s="126"/>
      <c r="N171" s="107"/>
      <c r="O171" s="126"/>
    </row>
    <row r="172" spans="13:15" x14ac:dyDescent="0.25">
      <c r="M172" s="126"/>
      <c r="N172" s="107"/>
      <c r="O172" s="126"/>
    </row>
    <row r="173" spans="13:15" x14ac:dyDescent="0.25">
      <c r="M173" s="126"/>
      <c r="N173" s="107"/>
      <c r="O173" s="126"/>
    </row>
    <row r="174" spans="13:15" x14ac:dyDescent="0.25">
      <c r="M174" s="126"/>
      <c r="N174" s="107"/>
      <c r="O174" s="126"/>
    </row>
    <row r="175" spans="13:15" x14ac:dyDescent="0.25">
      <c r="M175" s="126"/>
      <c r="N175" s="107"/>
      <c r="O175" s="126"/>
    </row>
    <row r="176" spans="13:15" x14ac:dyDescent="0.25">
      <c r="M176" s="126"/>
      <c r="N176" s="107"/>
      <c r="O176" s="126"/>
    </row>
    <row r="177" spans="13:15" x14ac:dyDescent="0.25">
      <c r="M177" s="126"/>
      <c r="N177" s="107"/>
      <c r="O177" s="126"/>
    </row>
    <row r="178" spans="13:15" x14ac:dyDescent="0.25">
      <c r="M178" s="126"/>
      <c r="N178" s="107"/>
      <c r="O178" s="126"/>
    </row>
    <row r="179" spans="13:15" x14ac:dyDescent="0.25">
      <c r="M179" s="126"/>
      <c r="N179" s="107"/>
      <c r="O179" s="126"/>
    </row>
    <row r="180" spans="13:15" x14ac:dyDescent="0.25">
      <c r="M180" s="126"/>
      <c r="N180" s="107"/>
      <c r="O180" s="126"/>
    </row>
    <row r="181" spans="13:15" x14ac:dyDescent="0.25">
      <c r="M181" s="126"/>
      <c r="N181" s="107"/>
      <c r="O181" s="126"/>
    </row>
    <row r="182" spans="13:15" x14ac:dyDescent="0.25">
      <c r="M182" s="126"/>
      <c r="N182" s="107"/>
      <c r="O182" s="126"/>
    </row>
    <row r="183" spans="13:15" x14ac:dyDescent="0.25">
      <c r="M183" s="126"/>
      <c r="N183" s="107"/>
      <c r="O183" s="126"/>
    </row>
    <row r="184" spans="13:15" x14ac:dyDescent="0.25">
      <c r="M184" s="126"/>
      <c r="N184" s="107"/>
      <c r="O184" s="126"/>
    </row>
    <row r="185" spans="13:15" x14ac:dyDescent="0.25">
      <c r="M185" s="126"/>
      <c r="N185" s="107"/>
      <c r="O185" s="126"/>
    </row>
    <row r="186" spans="13:15" x14ac:dyDescent="0.25">
      <c r="M186" s="126"/>
      <c r="N186" s="107"/>
      <c r="O186" s="126"/>
    </row>
    <row r="187" spans="13:15" x14ac:dyDescent="0.25">
      <c r="M187" s="126"/>
      <c r="N187" s="107"/>
      <c r="O187" s="126"/>
    </row>
    <row r="188" spans="13:15" x14ac:dyDescent="0.25">
      <c r="M188" s="126"/>
      <c r="N188" s="107"/>
      <c r="O188" s="126"/>
    </row>
    <row r="189" spans="13:15" x14ac:dyDescent="0.25">
      <c r="M189" s="126"/>
      <c r="N189" s="107"/>
      <c r="O189" s="126"/>
    </row>
    <row r="190" spans="13:15" x14ac:dyDescent="0.25">
      <c r="M190" s="126"/>
      <c r="N190" s="107"/>
      <c r="O190" s="126"/>
    </row>
    <row r="191" spans="13:15" x14ac:dyDescent="0.25">
      <c r="M191" s="126"/>
      <c r="N191" s="107"/>
      <c r="O191" s="126"/>
    </row>
    <row r="192" spans="13:15" x14ac:dyDescent="0.25">
      <c r="M192" s="126"/>
      <c r="N192" s="107"/>
      <c r="O192" s="126"/>
    </row>
    <row r="193" spans="13:15" x14ac:dyDescent="0.25">
      <c r="M193" s="126"/>
      <c r="N193" s="107"/>
      <c r="O193" s="126"/>
    </row>
    <row r="194" spans="13:15" x14ac:dyDescent="0.25">
      <c r="M194" s="126"/>
      <c r="N194" s="107"/>
      <c r="O194" s="126"/>
    </row>
    <row r="195" spans="13:15" x14ac:dyDescent="0.25">
      <c r="M195" s="126"/>
      <c r="N195" s="107"/>
      <c r="O195" s="126"/>
    </row>
    <row r="196" spans="13:15" x14ac:dyDescent="0.25">
      <c r="M196" s="126"/>
      <c r="N196" s="107"/>
      <c r="O196" s="126"/>
    </row>
    <row r="197" spans="13:15" x14ac:dyDescent="0.25">
      <c r="M197" s="126"/>
      <c r="N197" s="107"/>
      <c r="O197" s="126"/>
    </row>
    <row r="198" spans="13:15" x14ac:dyDescent="0.25">
      <c r="M198" s="126"/>
      <c r="N198" s="107"/>
      <c r="O198" s="126"/>
    </row>
    <row r="199" spans="13:15" x14ac:dyDescent="0.25">
      <c r="M199" s="126"/>
      <c r="N199" s="107"/>
      <c r="O199" s="126"/>
    </row>
    <row r="200" spans="13:15" x14ac:dyDescent="0.25">
      <c r="M200" s="126"/>
      <c r="N200" s="107"/>
      <c r="O200" s="126"/>
    </row>
    <row r="201" spans="13:15" x14ac:dyDescent="0.25">
      <c r="M201" s="126"/>
      <c r="N201" s="107"/>
      <c r="O201" s="126"/>
    </row>
    <row r="202" spans="13:15" x14ac:dyDescent="0.25">
      <c r="M202" s="126"/>
      <c r="N202" s="107"/>
      <c r="O202" s="126"/>
    </row>
    <row r="203" spans="13:15" x14ac:dyDescent="0.25">
      <c r="M203" s="126"/>
      <c r="N203" s="107"/>
      <c r="O203" s="126"/>
    </row>
    <row r="204" spans="13:15" x14ac:dyDescent="0.25">
      <c r="M204" s="126"/>
      <c r="N204" s="107"/>
      <c r="O204" s="126"/>
    </row>
    <row r="205" spans="13:15" x14ac:dyDescent="0.25">
      <c r="M205" s="126"/>
      <c r="N205" s="107"/>
      <c r="O205" s="126"/>
    </row>
    <row r="206" spans="13:15" x14ac:dyDescent="0.25">
      <c r="M206" s="126"/>
      <c r="N206" s="107"/>
      <c r="O206" s="126"/>
    </row>
    <row r="207" spans="13:15" x14ac:dyDescent="0.25">
      <c r="M207" s="126"/>
      <c r="N207" s="107"/>
      <c r="O207" s="126"/>
    </row>
    <row r="208" spans="13:15" x14ac:dyDescent="0.25">
      <c r="M208" s="126"/>
      <c r="N208" s="107"/>
      <c r="O208" s="126"/>
    </row>
    <row r="209" spans="13:15" x14ac:dyDescent="0.25">
      <c r="M209" s="126"/>
      <c r="N209" s="107"/>
      <c r="O209" s="126"/>
    </row>
    <row r="210" spans="13:15" x14ac:dyDescent="0.25">
      <c r="M210" s="126"/>
      <c r="N210" s="107"/>
      <c r="O210" s="126"/>
    </row>
    <row r="211" spans="13:15" x14ac:dyDescent="0.25">
      <c r="M211" s="126"/>
      <c r="N211" s="107"/>
      <c r="O211" s="126"/>
    </row>
    <row r="212" spans="13:15" x14ac:dyDescent="0.25">
      <c r="M212" s="126"/>
      <c r="N212" s="107"/>
      <c r="O212" s="126"/>
    </row>
    <row r="213" spans="13:15" x14ac:dyDescent="0.25">
      <c r="M213" s="126"/>
      <c r="N213" s="107"/>
      <c r="O213" s="126"/>
    </row>
    <row r="214" spans="13:15" x14ac:dyDescent="0.25">
      <c r="M214" s="126"/>
      <c r="N214" s="107"/>
      <c r="O214" s="126"/>
    </row>
    <row r="215" spans="13:15" x14ac:dyDescent="0.25">
      <c r="M215" s="126"/>
      <c r="N215" s="107"/>
      <c r="O215" s="126"/>
    </row>
    <row r="216" spans="13:15" x14ac:dyDescent="0.25">
      <c r="M216" s="126"/>
      <c r="N216" s="107"/>
      <c r="O216" s="126"/>
    </row>
    <row r="217" spans="13:15" x14ac:dyDescent="0.25">
      <c r="M217" s="126"/>
      <c r="N217" s="107"/>
      <c r="O217" s="126"/>
    </row>
    <row r="218" spans="13:15" x14ac:dyDescent="0.25">
      <c r="M218" s="126"/>
      <c r="N218" s="107"/>
      <c r="O218" s="126"/>
    </row>
    <row r="219" spans="13:15" x14ac:dyDescent="0.25">
      <c r="M219" s="126"/>
      <c r="N219" s="107"/>
      <c r="O219" s="126"/>
    </row>
    <row r="220" spans="13:15" x14ac:dyDescent="0.25">
      <c r="M220" s="126"/>
      <c r="N220" s="107"/>
      <c r="O220" s="126"/>
    </row>
    <row r="221" spans="13:15" x14ac:dyDescent="0.25">
      <c r="M221" s="126"/>
      <c r="N221" s="107"/>
      <c r="O221" s="126"/>
    </row>
    <row r="222" spans="13:15" x14ac:dyDescent="0.25">
      <c r="M222" s="126"/>
      <c r="N222" s="107"/>
      <c r="O222" s="126"/>
    </row>
    <row r="223" spans="13:15" x14ac:dyDescent="0.25">
      <c r="M223" s="126"/>
      <c r="N223" s="107"/>
      <c r="O223" s="126"/>
    </row>
    <row r="224" spans="13:15" x14ac:dyDescent="0.25">
      <c r="M224" s="126"/>
      <c r="N224" s="107"/>
      <c r="O224" s="126"/>
    </row>
    <row r="225" spans="13:15" x14ac:dyDescent="0.25">
      <c r="M225" s="126"/>
      <c r="N225" s="107"/>
      <c r="O225" s="126"/>
    </row>
    <row r="226" spans="13:15" x14ac:dyDescent="0.25">
      <c r="M226" s="126"/>
      <c r="N226" s="107"/>
      <c r="O226" s="126"/>
    </row>
    <row r="227" spans="13:15" x14ac:dyDescent="0.25">
      <c r="M227" s="126"/>
      <c r="N227" s="107"/>
      <c r="O227" s="126"/>
    </row>
    <row r="228" spans="13:15" x14ac:dyDescent="0.25">
      <c r="M228" s="126"/>
      <c r="N228" s="107"/>
      <c r="O228" s="126"/>
    </row>
    <row r="229" spans="13:15" x14ac:dyDescent="0.25">
      <c r="M229" s="126"/>
      <c r="N229" s="107"/>
      <c r="O229" s="126"/>
    </row>
    <row r="230" spans="13:15" x14ac:dyDescent="0.25">
      <c r="M230" s="126"/>
      <c r="N230" s="107"/>
      <c r="O230" s="126"/>
    </row>
    <row r="231" spans="13:15" x14ac:dyDescent="0.25">
      <c r="M231" s="126"/>
      <c r="N231" s="107"/>
      <c r="O231" s="126"/>
    </row>
    <row r="232" spans="13:15" x14ac:dyDescent="0.25">
      <c r="M232" s="126"/>
      <c r="N232" s="107"/>
      <c r="O232" s="126"/>
    </row>
    <row r="233" spans="13:15" x14ac:dyDescent="0.25">
      <c r="M233" s="126"/>
      <c r="N233" s="107"/>
      <c r="O233" s="126"/>
    </row>
    <row r="234" spans="13:15" x14ac:dyDescent="0.25">
      <c r="M234" s="126"/>
      <c r="N234" s="107"/>
      <c r="O234" s="126"/>
    </row>
    <row r="235" spans="13:15" x14ac:dyDescent="0.25">
      <c r="M235" s="126"/>
      <c r="N235" s="107"/>
      <c r="O235" s="126"/>
    </row>
    <row r="236" spans="13:15" x14ac:dyDescent="0.25">
      <c r="M236" s="126"/>
      <c r="N236" s="107"/>
      <c r="O236" s="126"/>
    </row>
    <row r="237" spans="13:15" x14ac:dyDescent="0.25">
      <c r="M237" s="126"/>
      <c r="N237" s="107"/>
      <c r="O237" s="126"/>
    </row>
    <row r="238" spans="13:15" x14ac:dyDescent="0.25">
      <c r="M238" s="126"/>
      <c r="N238" s="107"/>
      <c r="O238" s="126"/>
    </row>
    <row r="239" spans="13:15" x14ac:dyDescent="0.25">
      <c r="M239" s="126"/>
      <c r="N239" s="107"/>
      <c r="O239" s="126"/>
    </row>
    <row r="240" spans="13:15" x14ac:dyDescent="0.25">
      <c r="M240" s="126"/>
      <c r="N240" s="107"/>
      <c r="O240" s="126"/>
    </row>
    <row r="241" spans="13:15" x14ac:dyDescent="0.25">
      <c r="M241" s="126"/>
      <c r="N241" s="107"/>
      <c r="O241" s="126"/>
    </row>
    <row r="242" spans="13:15" x14ac:dyDescent="0.25">
      <c r="M242" s="126"/>
      <c r="N242" s="107"/>
      <c r="O242" s="126"/>
    </row>
    <row r="243" spans="13:15" x14ac:dyDescent="0.25">
      <c r="M243" s="126"/>
      <c r="N243" s="107"/>
      <c r="O243" s="126"/>
    </row>
    <row r="244" spans="13:15" x14ac:dyDescent="0.25">
      <c r="M244" s="126"/>
      <c r="N244" s="107"/>
      <c r="O244" s="126"/>
    </row>
    <row r="245" spans="13:15" x14ac:dyDescent="0.25">
      <c r="M245" s="126"/>
      <c r="N245" s="107"/>
      <c r="O245" s="126"/>
    </row>
    <row r="246" spans="13:15" x14ac:dyDescent="0.25">
      <c r="M246" s="126"/>
      <c r="N246" s="107"/>
      <c r="O246" s="126"/>
    </row>
    <row r="247" spans="13:15" x14ac:dyDescent="0.25">
      <c r="M247" s="126"/>
      <c r="N247" s="107"/>
      <c r="O247" s="126"/>
    </row>
    <row r="248" spans="13:15" x14ac:dyDescent="0.25">
      <c r="M248" s="126"/>
      <c r="N248" s="107"/>
      <c r="O248" s="126"/>
    </row>
    <row r="249" spans="13:15" x14ac:dyDescent="0.25">
      <c r="M249" s="126"/>
      <c r="N249" s="107"/>
      <c r="O249" s="126"/>
    </row>
    <row r="250" spans="13:15" x14ac:dyDescent="0.25">
      <c r="M250" s="126"/>
      <c r="N250" s="107"/>
      <c r="O250" s="126"/>
    </row>
    <row r="251" spans="13:15" x14ac:dyDescent="0.25">
      <c r="M251" s="126"/>
      <c r="N251" s="107"/>
      <c r="O251" s="126"/>
    </row>
    <row r="252" spans="13:15" x14ac:dyDescent="0.25">
      <c r="M252" s="126"/>
      <c r="N252" s="107"/>
      <c r="O252" s="126"/>
    </row>
    <row r="253" spans="13:15" x14ac:dyDescent="0.25">
      <c r="M253" s="126"/>
      <c r="N253" s="107"/>
      <c r="O253" s="126"/>
    </row>
    <row r="254" spans="13:15" x14ac:dyDescent="0.25">
      <c r="M254" s="126"/>
      <c r="N254" s="107"/>
      <c r="O254" s="126"/>
    </row>
    <row r="255" spans="13:15" x14ac:dyDescent="0.25">
      <c r="M255" s="126"/>
      <c r="N255" s="107"/>
      <c r="O255" s="126"/>
    </row>
    <row r="256" spans="13:15" x14ac:dyDescent="0.25">
      <c r="M256" s="126"/>
      <c r="N256" s="107"/>
      <c r="O256" s="126"/>
    </row>
    <row r="257" spans="13:15" x14ac:dyDescent="0.25">
      <c r="M257" s="126"/>
      <c r="N257" s="107"/>
      <c r="O257" s="126"/>
    </row>
    <row r="258" spans="13:15" x14ac:dyDescent="0.25">
      <c r="M258" s="126"/>
      <c r="N258" s="107"/>
      <c r="O258" s="126"/>
    </row>
    <row r="259" spans="13:15" x14ac:dyDescent="0.25">
      <c r="M259" s="126"/>
      <c r="N259" s="107"/>
      <c r="O259" s="126"/>
    </row>
    <row r="260" spans="13:15" x14ac:dyDescent="0.25">
      <c r="M260" s="126"/>
      <c r="N260" s="107"/>
      <c r="O260" s="126"/>
    </row>
    <row r="261" spans="13:15" x14ac:dyDescent="0.25">
      <c r="M261" s="126"/>
      <c r="N261" s="107"/>
      <c r="O261" s="126"/>
    </row>
    <row r="262" spans="13:15" x14ac:dyDescent="0.25">
      <c r="M262" s="126"/>
      <c r="N262" s="107"/>
      <c r="O262" s="126"/>
    </row>
    <row r="263" spans="13:15" x14ac:dyDescent="0.25">
      <c r="M263" s="126"/>
      <c r="N263" s="107"/>
      <c r="O263" s="126"/>
    </row>
    <row r="264" spans="13:15" x14ac:dyDescent="0.25">
      <c r="M264" s="126"/>
      <c r="N264" s="107"/>
      <c r="O264" s="126"/>
    </row>
    <row r="265" spans="13:15" x14ac:dyDescent="0.25">
      <c r="M265" s="126"/>
      <c r="N265" s="107"/>
      <c r="O265" s="126"/>
    </row>
    <row r="266" spans="13:15" x14ac:dyDescent="0.25">
      <c r="M266" s="126"/>
      <c r="N266" s="107"/>
      <c r="O266" s="126"/>
    </row>
    <row r="267" spans="13:15" x14ac:dyDescent="0.25">
      <c r="M267" s="126"/>
      <c r="N267" s="107"/>
      <c r="O267" s="126"/>
    </row>
    <row r="268" spans="13:15" x14ac:dyDescent="0.25">
      <c r="M268" s="126"/>
      <c r="N268" s="107"/>
      <c r="O268" s="126"/>
    </row>
    <row r="269" spans="13:15" x14ac:dyDescent="0.25">
      <c r="M269" s="126"/>
      <c r="N269" s="107"/>
      <c r="O269" s="126"/>
    </row>
    <row r="270" spans="13:15" x14ac:dyDescent="0.25">
      <c r="M270" s="126"/>
      <c r="N270" s="107"/>
      <c r="O270" s="126"/>
    </row>
    <row r="271" spans="13:15" x14ac:dyDescent="0.25">
      <c r="M271" s="126"/>
      <c r="N271" s="107"/>
      <c r="O271" s="126"/>
    </row>
    <row r="272" spans="13:15" x14ac:dyDescent="0.25">
      <c r="M272" s="126"/>
      <c r="N272" s="107"/>
      <c r="O272" s="126"/>
    </row>
    <row r="273" spans="13:15" x14ac:dyDescent="0.25">
      <c r="M273" s="126"/>
      <c r="N273" s="107"/>
      <c r="O273" s="126"/>
    </row>
    <row r="274" spans="13:15" x14ac:dyDescent="0.25">
      <c r="M274" s="126"/>
      <c r="N274" s="107"/>
      <c r="O274" s="126"/>
    </row>
    <row r="275" spans="13:15" x14ac:dyDescent="0.25">
      <c r="M275" s="126"/>
      <c r="N275" s="107"/>
      <c r="O275" s="126"/>
    </row>
    <row r="276" spans="13:15" x14ac:dyDescent="0.25">
      <c r="M276" s="126"/>
      <c r="N276" s="107"/>
      <c r="O276" s="126"/>
    </row>
    <row r="277" spans="13:15" x14ac:dyDescent="0.25">
      <c r="M277" s="126"/>
      <c r="N277" s="107"/>
      <c r="O277" s="126"/>
    </row>
    <row r="278" spans="13:15" x14ac:dyDescent="0.25">
      <c r="M278" s="126"/>
      <c r="N278" s="107"/>
      <c r="O278" s="126"/>
    </row>
    <row r="279" spans="13:15" x14ac:dyDescent="0.25">
      <c r="M279" s="126"/>
      <c r="N279" s="107"/>
      <c r="O279" s="126"/>
    </row>
    <row r="280" spans="13:15" x14ac:dyDescent="0.25">
      <c r="M280" s="126"/>
      <c r="N280" s="107"/>
      <c r="O280" s="126"/>
    </row>
    <row r="281" spans="13:15" x14ac:dyDescent="0.25">
      <c r="M281" s="126"/>
      <c r="N281" s="107"/>
      <c r="O281" s="126"/>
    </row>
    <row r="282" spans="13:15" x14ac:dyDescent="0.25">
      <c r="M282" s="126"/>
      <c r="N282" s="107"/>
      <c r="O282" s="126"/>
    </row>
    <row r="283" spans="13:15" x14ac:dyDescent="0.25">
      <c r="M283" s="126"/>
      <c r="N283" s="107"/>
      <c r="O283" s="126"/>
    </row>
    <row r="284" spans="13:15" x14ac:dyDescent="0.25">
      <c r="M284" s="126"/>
      <c r="N284" s="107"/>
      <c r="O284" s="126"/>
    </row>
    <row r="285" spans="13:15" x14ac:dyDescent="0.25">
      <c r="M285" s="126"/>
      <c r="N285" s="107"/>
      <c r="O285" s="126"/>
    </row>
    <row r="286" spans="13:15" x14ac:dyDescent="0.25">
      <c r="M286" s="126"/>
      <c r="N286" s="107"/>
      <c r="O286" s="126"/>
    </row>
    <row r="287" spans="13:15" x14ac:dyDescent="0.25">
      <c r="M287" s="126"/>
      <c r="N287" s="107"/>
      <c r="O287" s="126"/>
    </row>
    <row r="288" spans="13:15" x14ac:dyDescent="0.25">
      <c r="M288" s="126"/>
      <c r="N288" s="107"/>
      <c r="O288" s="126"/>
    </row>
    <row r="289" spans="13:15" x14ac:dyDescent="0.25">
      <c r="M289" s="126"/>
      <c r="N289" s="107"/>
      <c r="O289" s="126"/>
    </row>
    <row r="290" spans="13:15" x14ac:dyDescent="0.25">
      <c r="M290" s="126"/>
      <c r="N290" s="107"/>
      <c r="O290" s="126"/>
    </row>
    <row r="291" spans="13:15" x14ac:dyDescent="0.25">
      <c r="M291" s="126"/>
      <c r="N291" s="107"/>
      <c r="O291" s="126"/>
    </row>
    <row r="292" spans="13:15" x14ac:dyDescent="0.25">
      <c r="M292" s="126"/>
      <c r="N292" s="107"/>
      <c r="O292" s="126"/>
    </row>
    <row r="293" spans="13:15" x14ac:dyDescent="0.25">
      <c r="M293" s="126"/>
      <c r="N293" s="107"/>
      <c r="O293" s="126"/>
    </row>
    <row r="294" spans="13:15" x14ac:dyDescent="0.25">
      <c r="M294" s="126"/>
      <c r="N294" s="107"/>
      <c r="O294" s="126"/>
    </row>
    <row r="295" spans="13:15" x14ac:dyDescent="0.25">
      <c r="M295" s="126"/>
      <c r="N295" s="107"/>
      <c r="O295" s="126"/>
    </row>
    <row r="296" spans="13:15" x14ac:dyDescent="0.25">
      <c r="M296" s="126"/>
      <c r="N296" s="107"/>
      <c r="O296" s="126"/>
    </row>
    <row r="297" spans="13:15" x14ac:dyDescent="0.25">
      <c r="M297" s="126"/>
      <c r="N297" s="107"/>
      <c r="O297" s="126"/>
    </row>
    <row r="298" spans="13:15" x14ac:dyDescent="0.25">
      <c r="M298" s="126"/>
      <c r="N298" s="107"/>
      <c r="O298" s="126"/>
    </row>
    <row r="299" spans="13:15" x14ac:dyDescent="0.25">
      <c r="M299" s="126"/>
      <c r="N299" s="107"/>
      <c r="O299" s="126"/>
    </row>
    <row r="300" spans="13:15" x14ac:dyDescent="0.25">
      <c r="M300" s="126"/>
      <c r="N300" s="107"/>
      <c r="O300" s="126"/>
    </row>
    <row r="301" spans="13:15" x14ac:dyDescent="0.25">
      <c r="M301" s="126"/>
      <c r="N301" s="107"/>
      <c r="O301" s="126"/>
    </row>
    <row r="302" spans="13:15" x14ac:dyDescent="0.25">
      <c r="M302" s="126"/>
      <c r="N302" s="107"/>
      <c r="O302" s="126"/>
    </row>
    <row r="303" spans="13:15" x14ac:dyDescent="0.25">
      <c r="M303" s="126"/>
      <c r="N303" s="107"/>
      <c r="O303" s="126"/>
    </row>
    <row r="304" spans="13:15" x14ac:dyDescent="0.25">
      <c r="M304" s="126"/>
      <c r="N304" s="107"/>
      <c r="O304" s="126"/>
    </row>
    <row r="305" spans="13:15" x14ac:dyDescent="0.25">
      <c r="M305" s="126"/>
      <c r="N305" s="107"/>
      <c r="O305" s="126"/>
    </row>
    <row r="306" spans="13:15" x14ac:dyDescent="0.25">
      <c r="M306" s="126"/>
      <c r="N306" s="107"/>
      <c r="O306" s="126"/>
    </row>
    <row r="307" spans="13:15" x14ac:dyDescent="0.25">
      <c r="M307" s="126"/>
      <c r="N307" s="107"/>
      <c r="O307" s="126"/>
    </row>
    <row r="308" spans="13:15" x14ac:dyDescent="0.25">
      <c r="M308" s="126"/>
      <c r="N308" s="107"/>
      <c r="O308" s="126"/>
    </row>
    <row r="309" spans="13:15" x14ac:dyDescent="0.25">
      <c r="M309" s="126"/>
      <c r="N309" s="107"/>
      <c r="O309" s="126"/>
    </row>
    <row r="310" spans="13:15" x14ac:dyDescent="0.25">
      <c r="M310" s="126"/>
      <c r="N310" s="107"/>
      <c r="O310" s="126"/>
    </row>
    <row r="311" spans="13:15" x14ac:dyDescent="0.25">
      <c r="M311" s="126"/>
      <c r="N311" s="107"/>
      <c r="O311" s="126"/>
    </row>
    <row r="312" spans="13:15" x14ac:dyDescent="0.25">
      <c r="M312" s="126"/>
      <c r="N312" s="107"/>
      <c r="O312" s="126"/>
    </row>
    <row r="313" spans="13:15" x14ac:dyDescent="0.25">
      <c r="M313" s="126"/>
      <c r="N313" s="107"/>
      <c r="O313" s="126"/>
    </row>
    <row r="314" spans="13:15" x14ac:dyDescent="0.25">
      <c r="M314" s="126"/>
      <c r="N314" s="107"/>
      <c r="O314" s="126"/>
    </row>
    <row r="315" spans="13:15" x14ac:dyDescent="0.25">
      <c r="M315" s="126"/>
      <c r="N315" s="107"/>
      <c r="O315" s="126"/>
    </row>
    <row r="316" spans="13:15" x14ac:dyDescent="0.25">
      <c r="M316" s="126"/>
      <c r="N316" s="107"/>
      <c r="O316" s="126"/>
    </row>
    <row r="317" spans="13:15" x14ac:dyDescent="0.25">
      <c r="M317" s="126"/>
      <c r="N317" s="107"/>
      <c r="O317" s="126"/>
    </row>
    <row r="318" spans="13:15" x14ac:dyDescent="0.25">
      <c r="M318" s="126"/>
      <c r="N318" s="107"/>
      <c r="O318" s="126"/>
    </row>
    <row r="319" spans="13:15" x14ac:dyDescent="0.25">
      <c r="M319" s="126"/>
      <c r="N319" s="107"/>
      <c r="O319" s="126"/>
    </row>
    <row r="320" spans="13:15" x14ac:dyDescent="0.25">
      <c r="M320" s="126"/>
      <c r="N320" s="107"/>
      <c r="O320" s="126"/>
    </row>
    <row r="321" spans="13:15" x14ac:dyDescent="0.25">
      <c r="M321" s="126"/>
      <c r="N321" s="107"/>
      <c r="O321" s="126"/>
    </row>
    <row r="322" spans="13:15" x14ac:dyDescent="0.25">
      <c r="M322" s="126"/>
      <c r="N322" s="107"/>
      <c r="O322" s="126"/>
    </row>
    <row r="323" spans="13:15" x14ac:dyDescent="0.25">
      <c r="M323" s="126"/>
      <c r="N323" s="107"/>
      <c r="O323" s="126"/>
    </row>
    <row r="324" spans="13:15" x14ac:dyDescent="0.25">
      <c r="M324" s="126"/>
      <c r="N324" s="107"/>
      <c r="O324" s="126"/>
    </row>
    <row r="325" spans="13:15" x14ac:dyDescent="0.25">
      <c r="M325" s="126"/>
      <c r="N325" s="107"/>
      <c r="O325" s="126"/>
    </row>
    <row r="326" spans="13:15" x14ac:dyDescent="0.25">
      <c r="M326" s="126"/>
      <c r="N326" s="107"/>
      <c r="O326" s="126"/>
    </row>
    <row r="327" spans="13:15" x14ac:dyDescent="0.25">
      <c r="M327" s="126"/>
      <c r="N327" s="107"/>
      <c r="O327" s="126"/>
    </row>
    <row r="328" spans="13:15" x14ac:dyDescent="0.25">
      <c r="M328" s="126"/>
      <c r="N328" s="107"/>
      <c r="O328" s="126"/>
    </row>
    <row r="329" spans="13:15" x14ac:dyDescent="0.25">
      <c r="M329" s="126"/>
      <c r="N329" s="107"/>
      <c r="O329" s="126"/>
    </row>
    <row r="330" spans="13:15" x14ac:dyDescent="0.25">
      <c r="M330" s="126"/>
      <c r="N330" s="107"/>
      <c r="O330" s="126"/>
    </row>
    <row r="331" spans="13:15" x14ac:dyDescent="0.25">
      <c r="M331" s="126"/>
      <c r="N331" s="107"/>
      <c r="O331" s="126"/>
    </row>
    <row r="332" spans="13:15" x14ac:dyDescent="0.25">
      <c r="M332" s="126"/>
      <c r="N332" s="107"/>
      <c r="O332" s="126"/>
    </row>
    <row r="333" spans="13:15" x14ac:dyDescent="0.25">
      <c r="M333" s="126"/>
      <c r="N333" s="107"/>
      <c r="O333" s="126"/>
    </row>
    <row r="334" spans="13:15" x14ac:dyDescent="0.25">
      <c r="M334" s="126"/>
      <c r="N334" s="107"/>
      <c r="O334" s="126"/>
    </row>
    <row r="335" spans="13:15" x14ac:dyDescent="0.25">
      <c r="M335" s="126"/>
      <c r="N335" s="107"/>
      <c r="O335" s="126"/>
    </row>
    <row r="336" spans="13:15" x14ac:dyDescent="0.25">
      <c r="M336" s="126"/>
      <c r="N336" s="107"/>
      <c r="O336" s="126"/>
    </row>
    <row r="337" spans="13:15" x14ac:dyDescent="0.25">
      <c r="M337" s="126"/>
      <c r="N337" s="107"/>
      <c r="O337" s="126"/>
    </row>
    <row r="338" spans="13:15" x14ac:dyDescent="0.25">
      <c r="M338" s="126"/>
      <c r="N338" s="107"/>
      <c r="O338" s="126"/>
    </row>
    <row r="339" spans="13:15" x14ac:dyDescent="0.25">
      <c r="M339" s="126"/>
      <c r="N339" s="107"/>
      <c r="O339" s="126"/>
    </row>
    <row r="340" spans="13:15" x14ac:dyDescent="0.25">
      <c r="M340" s="126"/>
      <c r="N340" s="107"/>
      <c r="O340" s="126"/>
    </row>
    <row r="341" spans="13:15" x14ac:dyDescent="0.25">
      <c r="M341" s="126"/>
      <c r="N341" s="107"/>
      <c r="O341" s="126"/>
    </row>
    <row r="342" spans="13:15" x14ac:dyDescent="0.25">
      <c r="M342" s="126"/>
      <c r="N342" s="107"/>
      <c r="O342" s="126"/>
    </row>
    <row r="343" spans="13:15" x14ac:dyDescent="0.25">
      <c r="M343" s="126"/>
      <c r="N343" s="107"/>
      <c r="O343" s="126"/>
    </row>
    <row r="344" spans="13:15" x14ac:dyDescent="0.25">
      <c r="M344" s="126"/>
      <c r="N344" s="107"/>
      <c r="O344" s="126"/>
    </row>
    <row r="345" spans="13:15" x14ac:dyDescent="0.25">
      <c r="M345" s="126"/>
      <c r="N345" s="107"/>
      <c r="O345" s="126"/>
    </row>
    <row r="346" spans="13:15" x14ac:dyDescent="0.25">
      <c r="M346" s="126"/>
      <c r="N346" s="107"/>
      <c r="O346" s="126"/>
    </row>
    <row r="347" spans="13:15" x14ac:dyDescent="0.25">
      <c r="M347" s="126"/>
      <c r="N347" s="107"/>
      <c r="O347" s="126"/>
    </row>
    <row r="348" spans="13:15" x14ac:dyDescent="0.25">
      <c r="M348" s="126"/>
      <c r="N348" s="107"/>
      <c r="O348" s="126"/>
    </row>
    <row r="349" spans="13:15" x14ac:dyDescent="0.25">
      <c r="M349" s="126"/>
      <c r="N349" s="107"/>
      <c r="O349" s="126"/>
    </row>
    <row r="350" spans="13:15" x14ac:dyDescent="0.25">
      <c r="M350" s="126"/>
      <c r="N350" s="107"/>
      <c r="O350" s="126"/>
    </row>
    <row r="351" spans="13:15" x14ac:dyDescent="0.25">
      <c r="M351" s="126"/>
      <c r="N351" s="107"/>
      <c r="O351" s="126"/>
    </row>
    <row r="352" spans="13:15" x14ac:dyDescent="0.25">
      <c r="M352" s="126"/>
      <c r="N352" s="107"/>
      <c r="O352" s="126"/>
    </row>
    <row r="353" spans="13:15" x14ac:dyDescent="0.25">
      <c r="M353" s="126"/>
      <c r="N353" s="107"/>
      <c r="O353" s="126"/>
    </row>
    <row r="354" spans="13:15" x14ac:dyDescent="0.25">
      <c r="M354" s="126"/>
      <c r="N354" s="107"/>
      <c r="O354" s="126"/>
    </row>
    <row r="355" spans="13:15" x14ac:dyDescent="0.25">
      <c r="M355" s="126"/>
      <c r="N355" s="107"/>
      <c r="O355" s="126"/>
    </row>
    <row r="356" spans="13:15" x14ac:dyDescent="0.25">
      <c r="M356" s="126"/>
      <c r="N356" s="107"/>
      <c r="O356" s="126"/>
    </row>
    <row r="357" spans="13:15" x14ac:dyDescent="0.25">
      <c r="M357" s="126"/>
      <c r="N357" s="107"/>
      <c r="O357" s="126"/>
    </row>
    <row r="358" spans="13:15" x14ac:dyDescent="0.25">
      <c r="M358" s="126"/>
      <c r="N358" s="107"/>
      <c r="O358" s="126"/>
    </row>
    <row r="359" spans="13:15" x14ac:dyDescent="0.25">
      <c r="M359" s="126"/>
      <c r="N359" s="107"/>
      <c r="O359" s="126"/>
    </row>
    <row r="360" spans="13:15" x14ac:dyDescent="0.25">
      <c r="M360" s="126"/>
      <c r="N360" s="107"/>
      <c r="O360" s="126"/>
    </row>
    <row r="361" spans="13:15" x14ac:dyDescent="0.25">
      <c r="M361" s="126"/>
      <c r="N361" s="107"/>
      <c r="O361" s="126"/>
    </row>
    <row r="362" spans="13:15" x14ac:dyDescent="0.25">
      <c r="M362" s="126"/>
      <c r="N362" s="107"/>
      <c r="O362" s="126"/>
    </row>
    <row r="363" spans="13:15" x14ac:dyDescent="0.25">
      <c r="M363" s="126"/>
      <c r="N363" s="107"/>
      <c r="O363" s="126"/>
    </row>
    <row r="364" spans="13:15" x14ac:dyDescent="0.25">
      <c r="M364" s="126"/>
      <c r="N364" s="107"/>
      <c r="O364" s="126"/>
    </row>
    <row r="365" spans="13:15" x14ac:dyDescent="0.25">
      <c r="M365" s="126"/>
      <c r="N365" s="107"/>
      <c r="O365" s="126"/>
    </row>
    <row r="366" spans="13:15" x14ac:dyDescent="0.25">
      <c r="M366" s="126"/>
      <c r="N366" s="107"/>
      <c r="O366" s="126"/>
    </row>
    <row r="367" spans="13:15" x14ac:dyDescent="0.25">
      <c r="M367" s="126"/>
      <c r="N367" s="107"/>
      <c r="O367" s="126"/>
    </row>
    <row r="368" spans="13:15" x14ac:dyDescent="0.25">
      <c r="M368" s="126"/>
      <c r="N368" s="107"/>
      <c r="O368" s="126"/>
    </row>
    <row r="369" spans="13:15" x14ac:dyDescent="0.25">
      <c r="M369" s="126"/>
      <c r="N369" s="107"/>
      <c r="O369" s="126"/>
    </row>
    <row r="370" spans="13:15" x14ac:dyDescent="0.25">
      <c r="M370" s="126"/>
      <c r="N370" s="107"/>
      <c r="O370" s="126"/>
    </row>
    <row r="371" spans="13:15" x14ac:dyDescent="0.25">
      <c r="M371" s="126"/>
      <c r="N371" s="107"/>
      <c r="O371" s="126"/>
    </row>
    <row r="372" spans="13:15" x14ac:dyDescent="0.25">
      <c r="M372" s="126"/>
      <c r="N372" s="107"/>
      <c r="O372" s="126"/>
    </row>
    <row r="373" spans="13:15" x14ac:dyDescent="0.25">
      <c r="M373" s="126"/>
      <c r="N373" s="107"/>
      <c r="O373" s="126"/>
    </row>
    <row r="374" spans="13:15" x14ac:dyDescent="0.25">
      <c r="M374" s="126"/>
      <c r="N374" s="107"/>
      <c r="O374" s="126"/>
    </row>
    <row r="375" spans="13:15" x14ac:dyDescent="0.25">
      <c r="M375" s="126"/>
      <c r="N375" s="107"/>
      <c r="O375" s="126"/>
    </row>
    <row r="376" spans="13:15" x14ac:dyDescent="0.25">
      <c r="M376" s="126"/>
      <c r="N376" s="107"/>
      <c r="O376" s="126"/>
    </row>
    <row r="377" spans="13:15" x14ac:dyDescent="0.25">
      <c r="M377" s="126"/>
      <c r="N377" s="107"/>
      <c r="O377" s="126"/>
    </row>
    <row r="378" spans="13:15" x14ac:dyDescent="0.25">
      <c r="M378" s="126"/>
      <c r="N378" s="107"/>
      <c r="O378" s="126"/>
    </row>
    <row r="379" spans="13:15" x14ac:dyDescent="0.25">
      <c r="M379" s="126"/>
      <c r="N379" s="107"/>
      <c r="O379" s="126"/>
    </row>
    <row r="380" spans="13:15" x14ac:dyDescent="0.25">
      <c r="M380" s="126"/>
      <c r="N380" s="107"/>
      <c r="O380" s="126"/>
    </row>
    <row r="381" spans="13:15" x14ac:dyDescent="0.25">
      <c r="M381" s="126"/>
      <c r="N381" s="107"/>
      <c r="O381" s="126"/>
    </row>
    <row r="382" spans="13:15" x14ac:dyDescent="0.25">
      <c r="M382" s="126"/>
      <c r="N382" s="107"/>
      <c r="O382" s="126"/>
    </row>
    <row r="383" spans="13:15" x14ac:dyDescent="0.25">
      <c r="M383" s="126"/>
      <c r="N383" s="107"/>
      <c r="O383" s="126"/>
    </row>
    <row r="384" spans="13:15" x14ac:dyDescent="0.25">
      <c r="M384" s="126"/>
      <c r="N384" s="107"/>
      <c r="O384" s="126"/>
    </row>
    <row r="385" spans="13:15" x14ac:dyDescent="0.25">
      <c r="M385" s="126"/>
      <c r="N385" s="107"/>
      <c r="O385" s="126"/>
    </row>
    <row r="386" spans="13:15" x14ac:dyDescent="0.25">
      <c r="M386" s="126"/>
      <c r="N386" s="107"/>
      <c r="O386" s="126"/>
    </row>
    <row r="387" spans="13:15" x14ac:dyDescent="0.25">
      <c r="M387" s="126"/>
      <c r="N387" s="107"/>
      <c r="O387" s="126"/>
    </row>
    <row r="388" spans="13:15" x14ac:dyDescent="0.25">
      <c r="M388" s="126"/>
      <c r="N388" s="107"/>
      <c r="O388" s="126"/>
    </row>
    <row r="389" spans="13:15" x14ac:dyDescent="0.25">
      <c r="M389" s="126"/>
      <c r="N389" s="107"/>
      <c r="O389" s="126"/>
    </row>
    <row r="390" spans="13:15" x14ac:dyDescent="0.25">
      <c r="M390" s="126"/>
      <c r="N390" s="107"/>
      <c r="O390" s="126"/>
    </row>
    <row r="391" spans="13:15" x14ac:dyDescent="0.25">
      <c r="M391" s="126"/>
      <c r="N391" s="107"/>
      <c r="O391" s="126"/>
    </row>
    <row r="392" spans="13:15" x14ac:dyDescent="0.25">
      <c r="M392" s="126"/>
      <c r="N392" s="107"/>
      <c r="O392" s="126"/>
    </row>
    <row r="393" spans="13:15" x14ac:dyDescent="0.25">
      <c r="M393" s="126"/>
      <c r="N393" s="107"/>
      <c r="O393" s="126"/>
    </row>
    <row r="394" spans="13:15" x14ac:dyDescent="0.25">
      <c r="M394" s="126"/>
      <c r="N394" s="107"/>
      <c r="O394" s="126"/>
    </row>
    <row r="395" spans="13:15" x14ac:dyDescent="0.25">
      <c r="M395" s="126"/>
      <c r="N395" s="107"/>
      <c r="O395" s="126"/>
    </row>
    <row r="396" spans="13:15" x14ac:dyDescent="0.25">
      <c r="M396" s="126"/>
      <c r="N396" s="107"/>
      <c r="O396" s="126"/>
    </row>
    <row r="397" spans="13:15" x14ac:dyDescent="0.25">
      <c r="M397" s="126"/>
      <c r="N397" s="107"/>
      <c r="O397" s="126"/>
    </row>
    <row r="398" spans="13:15" x14ac:dyDescent="0.25">
      <c r="M398" s="126"/>
      <c r="N398" s="107"/>
      <c r="O398" s="126"/>
    </row>
    <row r="399" spans="13:15" x14ac:dyDescent="0.25">
      <c r="M399" s="126"/>
      <c r="N399" s="107"/>
      <c r="O399" s="126"/>
    </row>
    <row r="400" spans="13:15" x14ac:dyDescent="0.25">
      <c r="M400" s="126"/>
      <c r="N400" s="107"/>
      <c r="O400" s="126"/>
    </row>
    <row r="401" spans="13:15" x14ac:dyDescent="0.25">
      <c r="M401" s="126"/>
      <c r="N401" s="107"/>
      <c r="O401" s="126"/>
    </row>
    <row r="402" spans="13:15" x14ac:dyDescent="0.25">
      <c r="M402" s="126"/>
      <c r="N402" s="107"/>
      <c r="O402" s="126"/>
    </row>
    <row r="403" spans="13:15" x14ac:dyDescent="0.25">
      <c r="M403" s="126"/>
      <c r="N403" s="107"/>
      <c r="O403" s="126"/>
    </row>
    <row r="404" spans="13:15" x14ac:dyDescent="0.25">
      <c r="M404" s="126"/>
      <c r="N404" s="107"/>
      <c r="O404" s="126"/>
    </row>
    <row r="405" spans="13:15" x14ac:dyDescent="0.25">
      <c r="M405" s="126"/>
      <c r="N405" s="107"/>
      <c r="O405" s="126"/>
    </row>
    <row r="406" spans="13:15" x14ac:dyDescent="0.25">
      <c r="M406" s="126"/>
      <c r="N406" s="107"/>
      <c r="O406" s="126"/>
    </row>
    <row r="407" spans="13:15" x14ac:dyDescent="0.25">
      <c r="M407" s="126"/>
      <c r="N407" s="107"/>
      <c r="O407" s="126"/>
    </row>
    <row r="408" spans="13:15" x14ac:dyDescent="0.25">
      <c r="M408" s="126"/>
      <c r="N408" s="107"/>
      <c r="O408" s="126"/>
    </row>
    <row r="409" spans="13:15" x14ac:dyDescent="0.25">
      <c r="M409" s="126"/>
      <c r="N409" s="107"/>
      <c r="O409" s="126"/>
    </row>
    <row r="410" spans="13:15" x14ac:dyDescent="0.25">
      <c r="M410" s="126"/>
      <c r="N410" s="107"/>
      <c r="O410" s="126"/>
    </row>
    <row r="411" spans="13:15" x14ac:dyDescent="0.25">
      <c r="M411" s="126"/>
      <c r="N411" s="107"/>
      <c r="O411" s="126"/>
    </row>
    <row r="412" spans="13:15" x14ac:dyDescent="0.25">
      <c r="M412" s="126"/>
      <c r="N412" s="107"/>
      <c r="O412" s="126"/>
    </row>
    <row r="413" spans="13:15" x14ac:dyDescent="0.25">
      <c r="M413" s="126"/>
      <c r="N413" s="107"/>
      <c r="O413" s="126"/>
    </row>
    <row r="414" spans="13:15" x14ac:dyDescent="0.25">
      <c r="M414" s="126"/>
      <c r="N414" s="107"/>
      <c r="O414" s="126"/>
    </row>
    <row r="415" spans="13:15" x14ac:dyDescent="0.25">
      <c r="M415" s="126"/>
      <c r="N415" s="107"/>
      <c r="O415" s="126"/>
    </row>
    <row r="416" spans="13:15" x14ac:dyDescent="0.25">
      <c r="M416" s="126"/>
      <c r="N416" s="107"/>
      <c r="O416" s="126"/>
    </row>
    <row r="417" spans="13:15" x14ac:dyDescent="0.25">
      <c r="M417" s="126"/>
      <c r="N417" s="107"/>
      <c r="O417" s="126"/>
    </row>
    <row r="418" spans="13:15" x14ac:dyDescent="0.25">
      <c r="M418" s="126"/>
      <c r="N418" s="107"/>
      <c r="O418" s="126"/>
    </row>
    <row r="419" spans="13:15" x14ac:dyDescent="0.25">
      <c r="M419" s="126"/>
      <c r="N419" s="107"/>
      <c r="O419" s="126"/>
    </row>
    <row r="420" spans="13:15" x14ac:dyDescent="0.25">
      <c r="M420" s="126"/>
      <c r="N420" s="107"/>
      <c r="O420" s="126"/>
    </row>
    <row r="421" spans="13:15" x14ac:dyDescent="0.25">
      <c r="M421" s="126"/>
      <c r="N421" s="107"/>
      <c r="O421" s="126"/>
    </row>
    <row r="422" spans="13:15" x14ac:dyDescent="0.25">
      <c r="M422" s="126"/>
      <c r="N422" s="107"/>
      <c r="O422" s="126"/>
    </row>
    <row r="423" spans="13:15" x14ac:dyDescent="0.25">
      <c r="M423" s="126"/>
      <c r="N423" s="107"/>
      <c r="O423" s="126"/>
    </row>
    <row r="424" spans="13:15" x14ac:dyDescent="0.25">
      <c r="M424" s="126"/>
      <c r="N424" s="107"/>
      <c r="O424" s="126"/>
    </row>
    <row r="425" spans="13:15" x14ac:dyDescent="0.25">
      <c r="M425" s="126"/>
      <c r="N425" s="107"/>
      <c r="O425" s="126"/>
    </row>
    <row r="426" spans="13:15" x14ac:dyDescent="0.25">
      <c r="M426" s="126"/>
      <c r="N426" s="107"/>
      <c r="O426" s="126"/>
    </row>
    <row r="427" spans="13:15" x14ac:dyDescent="0.25">
      <c r="M427" s="126"/>
      <c r="N427" s="107"/>
      <c r="O427" s="126"/>
    </row>
    <row r="428" spans="13:15" x14ac:dyDescent="0.25">
      <c r="M428" s="126"/>
      <c r="N428" s="107"/>
      <c r="O428" s="126"/>
    </row>
    <row r="429" spans="13:15" x14ac:dyDescent="0.25">
      <c r="M429" s="126"/>
      <c r="N429" s="107"/>
      <c r="O429" s="126"/>
    </row>
    <row r="430" spans="13:15" x14ac:dyDescent="0.25">
      <c r="M430" s="126"/>
      <c r="N430" s="107"/>
      <c r="O430" s="126"/>
    </row>
    <row r="431" spans="13:15" x14ac:dyDescent="0.25">
      <c r="M431" s="126"/>
      <c r="N431" s="107"/>
      <c r="O431" s="126"/>
    </row>
    <row r="432" spans="13:15" x14ac:dyDescent="0.25">
      <c r="M432" s="126"/>
      <c r="N432" s="107"/>
      <c r="O432" s="126"/>
    </row>
    <row r="433" spans="13:15" x14ac:dyDescent="0.25">
      <c r="M433" s="126"/>
      <c r="N433" s="107"/>
      <c r="O433" s="126"/>
    </row>
    <row r="434" spans="13:15" x14ac:dyDescent="0.25">
      <c r="M434" s="126"/>
      <c r="N434" s="107"/>
      <c r="O434" s="126"/>
    </row>
    <row r="435" spans="13:15" x14ac:dyDescent="0.25">
      <c r="M435" s="126"/>
      <c r="N435" s="107"/>
      <c r="O435" s="126"/>
    </row>
    <row r="436" spans="13:15" x14ac:dyDescent="0.25">
      <c r="M436" s="126"/>
      <c r="N436" s="107"/>
      <c r="O436" s="126"/>
    </row>
    <row r="437" spans="13:15" x14ac:dyDescent="0.25">
      <c r="M437" s="126"/>
      <c r="N437" s="107"/>
      <c r="O437" s="126"/>
    </row>
    <row r="438" spans="13:15" x14ac:dyDescent="0.25">
      <c r="M438" s="126"/>
      <c r="N438" s="107"/>
      <c r="O438" s="126"/>
    </row>
    <row r="439" spans="13:15" x14ac:dyDescent="0.25">
      <c r="M439" s="126"/>
      <c r="N439" s="107"/>
      <c r="O439" s="126"/>
    </row>
    <row r="440" spans="13:15" x14ac:dyDescent="0.25">
      <c r="M440" s="126"/>
      <c r="N440" s="107"/>
      <c r="O440" s="126"/>
    </row>
    <row r="441" spans="13:15" x14ac:dyDescent="0.25">
      <c r="M441" s="126"/>
      <c r="N441" s="107"/>
      <c r="O441" s="126"/>
    </row>
    <row r="442" spans="13:15" x14ac:dyDescent="0.25">
      <c r="M442" s="126"/>
      <c r="N442" s="107"/>
      <c r="O442" s="126"/>
    </row>
    <row r="443" spans="13:15" x14ac:dyDescent="0.25">
      <c r="M443" s="126"/>
      <c r="N443" s="107"/>
      <c r="O443" s="126"/>
    </row>
    <row r="444" spans="13:15" x14ac:dyDescent="0.25">
      <c r="M444" s="126"/>
      <c r="N444" s="107"/>
      <c r="O444" s="126"/>
    </row>
    <row r="445" spans="13:15" x14ac:dyDescent="0.25">
      <c r="M445" s="126"/>
      <c r="N445" s="107"/>
      <c r="O445" s="126"/>
    </row>
    <row r="446" spans="13:15" x14ac:dyDescent="0.25">
      <c r="M446" s="126"/>
      <c r="N446" s="107"/>
      <c r="O446" s="126"/>
    </row>
    <row r="447" spans="13:15" x14ac:dyDescent="0.25">
      <c r="M447" s="126"/>
      <c r="N447" s="107"/>
      <c r="O447" s="126"/>
    </row>
    <row r="448" spans="13:15" x14ac:dyDescent="0.25">
      <c r="M448" s="126"/>
      <c r="N448" s="107"/>
      <c r="O448" s="126"/>
    </row>
    <row r="449" spans="13:15" x14ac:dyDescent="0.25">
      <c r="M449" s="126"/>
      <c r="N449" s="107"/>
      <c r="O449" s="126"/>
    </row>
    <row r="450" spans="13:15" x14ac:dyDescent="0.25">
      <c r="M450" s="126"/>
      <c r="N450" s="107"/>
      <c r="O450" s="126"/>
    </row>
    <row r="451" spans="13:15" x14ac:dyDescent="0.25">
      <c r="M451" s="126"/>
      <c r="N451" s="107"/>
      <c r="O451" s="126"/>
    </row>
    <row r="452" spans="13:15" x14ac:dyDescent="0.25">
      <c r="M452" s="126"/>
      <c r="N452" s="107"/>
      <c r="O452" s="126"/>
    </row>
    <row r="453" spans="13:15" x14ac:dyDescent="0.25">
      <c r="M453" s="126"/>
      <c r="N453" s="107"/>
      <c r="O453" s="126"/>
    </row>
    <row r="454" spans="13:15" x14ac:dyDescent="0.25">
      <c r="M454" s="126"/>
      <c r="N454" s="107"/>
      <c r="O454" s="126"/>
    </row>
    <row r="455" spans="13:15" x14ac:dyDescent="0.25">
      <c r="M455" s="126"/>
      <c r="N455" s="107"/>
      <c r="O455" s="126"/>
    </row>
    <row r="456" spans="13:15" x14ac:dyDescent="0.25">
      <c r="M456" s="126"/>
      <c r="N456" s="107"/>
      <c r="O456" s="126"/>
    </row>
    <row r="457" spans="13:15" x14ac:dyDescent="0.25">
      <c r="M457" s="126"/>
      <c r="N457" s="107"/>
      <c r="O457" s="126"/>
    </row>
    <row r="458" spans="13:15" x14ac:dyDescent="0.25">
      <c r="M458" s="126"/>
      <c r="N458" s="107"/>
      <c r="O458" s="126"/>
    </row>
    <row r="459" spans="13:15" x14ac:dyDescent="0.25">
      <c r="M459" s="126"/>
      <c r="N459" s="107"/>
      <c r="O459" s="126"/>
    </row>
    <row r="460" spans="13:15" x14ac:dyDescent="0.25">
      <c r="M460" s="126"/>
      <c r="N460" s="107"/>
      <c r="O460" s="126"/>
    </row>
    <row r="461" spans="13:15" x14ac:dyDescent="0.25">
      <c r="M461" s="126"/>
      <c r="N461" s="107"/>
      <c r="O461" s="126"/>
    </row>
    <row r="462" spans="13:15" x14ac:dyDescent="0.25">
      <c r="M462" s="126"/>
      <c r="N462" s="107"/>
      <c r="O462" s="126"/>
    </row>
    <row r="463" spans="13:15" x14ac:dyDescent="0.25">
      <c r="M463" s="126"/>
      <c r="N463" s="107"/>
      <c r="O463" s="126"/>
    </row>
    <row r="464" spans="13:15" x14ac:dyDescent="0.25">
      <c r="M464" s="126"/>
      <c r="N464" s="107"/>
      <c r="O464" s="126"/>
    </row>
    <row r="465" spans="13:15" x14ac:dyDescent="0.25">
      <c r="M465" s="126"/>
      <c r="N465" s="107"/>
      <c r="O465" s="126"/>
    </row>
    <row r="466" spans="13:15" x14ac:dyDescent="0.25">
      <c r="M466" s="126"/>
      <c r="N466" s="107"/>
      <c r="O466" s="126"/>
    </row>
    <row r="467" spans="13:15" x14ac:dyDescent="0.25">
      <c r="M467" s="126"/>
      <c r="N467" s="107"/>
      <c r="O467" s="126"/>
    </row>
    <row r="468" spans="13:15" x14ac:dyDescent="0.25">
      <c r="M468" s="126"/>
      <c r="N468" s="107"/>
      <c r="O468" s="126"/>
    </row>
    <row r="469" spans="13:15" x14ac:dyDescent="0.25">
      <c r="M469" s="126"/>
      <c r="N469" s="107"/>
      <c r="O469" s="126"/>
    </row>
    <row r="470" spans="13:15" x14ac:dyDescent="0.25">
      <c r="M470" s="126"/>
      <c r="N470" s="107"/>
      <c r="O470" s="126"/>
    </row>
    <row r="471" spans="13:15" x14ac:dyDescent="0.25">
      <c r="M471" s="126"/>
      <c r="N471" s="107"/>
      <c r="O471" s="126"/>
    </row>
    <row r="472" spans="13:15" x14ac:dyDescent="0.25">
      <c r="M472" s="126"/>
      <c r="N472" s="107"/>
      <c r="O472" s="126"/>
    </row>
    <row r="473" spans="13:15" x14ac:dyDescent="0.25">
      <c r="M473" s="126"/>
      <c r="N473" s="107"/>
      <c r="O473" s="126"/>
    </row>
    <row r="474" spans="13:15" x14ac:dyDescent="0.25">
      <c r="M474" s="126"/>
      <c r="N474" s="107"/>
      <c r="O474" s="126"/>
    </row>
    <row r="475" spans="13:15" x14ac:dyDescent="0.25">
      <c r="M475" s="126"/>
      <c r="N475" s="107"/>
      <c r="O475" s="126"/>
    </row>
    <row r="476" spans="13:15" x14ac:dyDescent="0.25">
      <c r="M476" s="126"/>
      <c r="N476" s="107"/>
      <c r="O476" s="126"/>
    </row>
    <row r="477" spans="13:15" x14ac:dyDescent="0.25">
      <c r="M477" s="126"/>
      <c r="N477" s="107"/>
      <c r="O477" s="126"/>
    </row>
    <row r="478" spans="13:15" x14ac:dyDescent="0.25">
      <c r="M478" s="126"/>
      <c r="N478" s="107"/>
      <c r="O478" s="126"/>
    </row>
    <row r="479" spans="13:15" x14ac:dyDescent="0.25">
      <c r="M479" s="126"/>
      <c r="N479" s="107"/>
      <c r="O479" s="126"/>
    </row>
    <row r="480" spans="13:15" x14ac:dyDescent="0.25">
      <c r="M480" s="126"/>
      <c r="N480" s="107"/>
      <c r="O480" s="126"/>
    </row>
    <row r="481" spans="13:15" x14ac:dyDescent="0.25">
      <c r="M481" s="126"/>
      <c r="N481" s="107"/>
      <c r="O481" s="126"/>
    </row>
    <row r="482" spans="13:15" x14ac:dyDescent="0.25">
      <c r="M482" s="126"/>
      <c r="N482" s="107"/>
      <c r="O482" s="126"/>
    </row>
    <row r="483" spans="13:15" x14ac:dyDescent="0.25">
      <c r="M483" s="126"/>
      <c r="N483" s="107"/>
      <c r="O483" s="126"/>
    </row>
    <row r="484" spans="13:15" x14ac:dyDescent="0.25">
      <c r="M484" s="126"/>
      <c r="N484" s="107"/>
      <c r="O484" s="126"/>
    </row>
    <row r="485" spans="13:15" x14ac:dyDescent="0.25">
      <c r="M485" s="126"/>
      <c r="N485" s="107"/>
      <c r="O485" s="126"/>
    </row>
    <row r="486" spans="13:15" x14ac:dyDescent="0.25">
      <c r="M486" s="126"/>
      <c r="N486" s="107"/>
      <c r="O486" s="126"/>
    </row>
    <row r="487" spans="13:15" x14ac:dyDescent="0.25">
      <c r="M487" s="126"/>
      <c r="N487" s="107"/>
      <c r="O487" s="126"/>
    </row>
    <row r="488" spans="13:15" x14ac:dyDescent="0.25">
      <c r="M488" s="126"/>
      <c r="N488" s="107"/>
      <c r="O488" s="126"/>
    </row>
    <row r="489" spans="13:15" x14ac:dyDescent="0.25">
      <c r="M489" s="126"/>
      <c r="N489" s="107"/>
      <c r="O489" s="126"/>
    </row>
    <row r="490" spans="13:15" x14ac:dyDescent="0.25">
      <c r="M490" s="126"/>
      <c r="N490" s="107"/>
      <c r="O490" s="126"/>
    </row>
    <row r="491" spans="13:15" x14ac:dyDescent="0.25">
      <c r="M491" s="126"/>
      <c r="N491" s="107"/>
      <c r="O491" s="126"/>
    </row>
    <row r="492" spans="13:15" x14ac:dyDescent="0.25">
      <c r="M492" s="126"/>
      <c r="N492" s="107"/>
      <c r="O492" s="126"/>
    </row>
    <row r="493" spans="13:15" x14ac:dyDescent="0.25">
      <c r="M493" s="126"/>
      <c r="N493" s="107"/>
      <c r="O493" s="126"/>
    </row>
    <row r="494" spans="13:15" x14ac:dyDescent="0.25">
      <c r="M494" s="126"/>
      <c r="N494" s="107"/>
      <c r="O494" s="126"/>
    </row>
    <row r="495" spans="13:15" x14ac:dyDescent="0.25">
      <c r="M495" s="126"/>
      <c r="N495" s="107"/>
      <c r="O495" s="126"/>
    </row>
    <row r="496" spans="13:15" x14ac:dyDescent="0.25">
      <c r="M496" s="126"/>
      <c r="N496" s="107"/>
      <c r="O496" s="126"/>
    </row>
    <row r="497" spans="13:15" x14ac:dyDescent="0.25">
      <c r="M497" s="126"/>
      <c r="N497" s="107"/>
      <c r="O497" s="126"/>
    </row>
    <row r="498" spans="13:15" x14ac:dyDescent="0.25">
      <c r="M498" s="126"/>
      <c r="N498" s="107"/>
      <c r="O498" s="126"/>
    </row>
    <row r="499" spans="13:15" x14ac:dyDescent="0.25">
      <c r="M499" s="126"/>
      <c r="N499" s="107"/>
      <c r="O499" s="126"/>
    </row>
    <row r="500" spans="13:15" x14ac:dyDescent="0.25">
      <c r="M500" s="126"/>
      <c r="N500" s="107"/>
      <c r="O500" s="126"/>
    </row>
    <row r="501" spans="13:15" x14ac:dyDescent="0.25">
      <c r="M501" s="126"/>
      <c r="N501" s="107"/>
      <c r="O501" s="126"/>
    </row>
    <row r="502" spans="13:15" x14ac:dyDescent="0.25">
      <c r="M502" s="126"/>
      <c r="N502" s="107"/>
      <c r="O502" s="126"/>
    </row>
    <row r="503" spans="13:15" x14ac:dyDescent="0.25">
      <c r="M503" s="126"/>
      <c r="N503" s="107"/>
      <c r="O503" s="126"/>
    </row>
    <row r="504" spans="13:15" x14ac:dyDescent="0.25">
      <c r="M504" s="126"/>
      <c r="N504" s="107"/>
      <c r="O504" s="126"/>
    </row>
    <row r="505" spans="13:15" x14ac:dyDescent="0.25">
      <c r="M505" s="126"/>
      <c r="N505" s="107"/>
      <c r="O505" s="126"/>
    </row>
    <row r="506" spans="13:15" x14ac:dyDescent="0.25">
      <c r="M506" s="126"/>
      <c r="N506" s="107"/>
      <c r="O506" s="126"/>
    </row>
    <row r="507" spans="13:15" x14ac:dyDescent="0.25">
      <c r="M507" s="126"/>
      <c r="N507" s="107"/>
      <c r="O507" s="126"/>
    </row>
    <row r="508" spans="13:15" x14ac:dyDescent="0.25">
      <c r="M508" s="126"/>
      <c r="N508" s="107"/>
      <c r="O508" s="126"/>
    </row>
    <row r="509" spans="13:15" x14ac:dyDescent="0.25">
      <c r="M509" s="126"/>
      <c r="N509" s="107"/>
      <c r="O509" s="126"/>
    </row>
    <row r="510" spans="13:15" x14ac:dyDescent="0.25">
      <c r="M510" s="126"/>
      <c r="N510" s="107"/>
      <c r="O510" s="126"/>
    </row>
    <row r="511" spans="13:15" x14ac:dyDescent="0.25">
      <c r="M511" s="126"/>
      <c r="N511" s="107"/>
      <c r="O511" s="126"/>
    </row>
    <row r="512" spans="13:15" x14ac:dyDescent="0.25">
      <c r="M512" s="126"/>
      <c r="N512" s="107"/>
      <c r="O512" s="126"/>
    </row>
    <row r="513" spans="13:15" x14ac:dyDescent="0.25">
      <c r="M513" s="126"/>
      <c r="N513" s="107"/>
      <c r="O513" s="126"/>
    </row>
    <row r="514" spans="13:15" x14ac:dyDescent="0.25">
      <c r="M514" s="126"/>
      <c r="N514" s="107"/>
      <c r="O514" s="126"/>
    </row>
    <row r="515" spans="13:15" x14ac:dyDescent="0.25">
      <c r="M515" s="126"/>
      <c r="N515" s="107"/>
      <c r="O515" s="126"/>
    </row>
    <row r="516" spans="13:15" x14ac:dyDescent="0.25">
      <c r="M516" s="126"/>
      <c r="N516" s="107"/>
      <c r="O516" s="126"/>
    </row>
    <row r="517" spans="13:15" x14ac:dyDescent="0.25">
      <c r="M517" s="126"/>
      <c r="N517" s="107"/>
      <c r="O517" s="126"/>
    </row>
    <row r="518" spans="13:15" x14ac:dyDescent="0.25">
      <c r="M518" s="126"/>
      <c r="N518" s="107"/>
      <c r="O518" s="126"/>
    </row>
    <row r="519" spans="13:15" x14ac:dyDescent="0.25">
      <c r="M519" s="126"/>
      <c r="N519" s="107"/>
      <c r="O519" s="126"/>
    </row>
    <row r="520" spans="13:15" x14ac:dyDescent="0.25">
      <c r="M520" s="126"/>
      <c r="N520" s="107"/>
      <c r="O520" s="126"/>
    </row>
    <row r="521" spans="13:15" x14ac:dyDescent="0.25">
      <c r="M521" s="126"/>
      <c r="N521" s="107"/>
      <c r="O521" s="126"/>
    </row>
    <row r="522" spans="13:15" x14ac:dyDescent="0.25">
      <c r="M522" s="126"/>
      <c r="N522" s="107"/>
      <c r="O522" s="126"/>
    </row>
    <row r="523" spans="13:15" x14ac:dyDescent="0.25">
      <c r="M523" s="126"/>
      <c r="N523" s="107"/>
      <c r="O523" s="126"/>
    </row>
    <row r="524" spans="13:15" x14ac:dyDescent="0.25">
      <c r="M524" s="126"/>
      <c r="N524" s="107"/>
      <c r="O524" s="126"/>
    </row>
    <row r="525" spans="13:15" x14ac:dyDescent="0.25">
      <c r="M525" s="126"/>
      <c r="N525" s="107"/>
      <c r="O525" s="126"/>
    </row>
    <row r="526" spans="13:15" x14ac:dyDescent="0.25">
      <c r="M526" s="126"/>
      <c r="N526" s="107"/>
      <c r="O526" s="126"/>
    </row>
    <row r="527" spans="13:15" x14ac:dyDescent="0.25">
      <c r="M527" s="126"/>
      <c r="N527" s="107"/>
      <c r="O527" s="126"/>
    </row>
    <row r="528" spans="13:15" x14ac:dyDescent="0.25">
      <c r="M528" s="126"/>
      <c r="N528" s="107"/>
      <c r="O528" s="126"/>
    </row>
    <row r="529" spans="13:15" x14ac:dyDescent="0.25">
      <c r="M529" s="126"/>
      <c r="N529" s="107"/>
      <c r="O529" s="126"/>
    </row>
    <row r="530" spans="13:15" x14ac:dyDescent="0.25">
      <c r="M530" s="126"/>
      <c r="N530" s="107"/>
      <c r="O530" s="126"/>
    </row>
    <row r="531" spans="13:15" x14ac:dyDescent="0.25">
      <c r="M531" s="126"/>
      <c r="N531" s="107"/>
      <c r="O531" s="126"/>
    </row>
    <row r="532" spans="13:15" x14ac:dyDescent="0.25">
      <c r="M532" s="126"/>
      <c r="N532" s="107"/>
      <c r="O532" s="126"/>
    </row>
    <row r="533" spans="13:15" x14ac:dyDescent="0.25">
      <c r="M533" s="126"/>
      <c r="N533" s="107"/>
      <c r="O533" s="126"/>
    </row>
    <row r="534" spans="13:15" x14ac:dyDescent="0.25">
      <c r="M534" s="126"/>
      <c r="N534" s="107"/>
      <c r="O534" s="126"/>
    </row>
    <row r="535" spans="13:15" x14ac:dyDescent="0.25">
      <c r="M535" s="126"/>
      <c r="N535" s="107"/>
      <c r="O535" s="126"/>
    </row>
    <row r="536" spans="13:15" x14ac:dyDescent="0.25">
      <c r="M536" s="126"/>
      <c r="N536" s="107"/>
      <c r="O536" s="126"/>
    </row>
    <row r="537" spans="13:15" x14ac:dyDescent="0.25">
      <c r="M537" s="126"/>
      <c r="N537" s="107"/>
      <c r="O537" s="126"/>
    </row>
    <row r="538" spans="13:15" x14ac:dyDescent="0.25">
      <c r="M538" s="126"/>
      <c r="N538" s="107"/>
      <c r="O538" s="126"/>
    </row>
    <row r="539" spans="13:15" x14ac:dyDescent="0.25">
      <c r="M539" s="126"/>
      <c r="N539" s="107"/>
      <c r="O539" s="126"/>
    </row>
    <row r="540" spans="13:15" x14ac:dyDescent="0.25">
      <c r="M540" s="126"/>
      <c r="N540" s="107"/>
      <c r="O540" s="126"/>
    </row>
    <row r="541" spans="13:15" x14ac:dyDescent="0.25">
      <c r="M541" s="126"/>
      <c r="N541" s="107"/>
      <c r="O541" s="126"/>
    </row>
    <row r="542" spans="13:15" x14ac:dyDescent="0.25">
      <c r="M542" s="126"/>
      <c r="N542" s="107"/>
      <c r="O542" s="126"/>
    </row>
    <row r="543" spans="13:15" x14ac:dyDescent="0.25">
      <c r="M543" s="126"/>
      <c r="N543" s="107"/>
      <c r="O543" s="126"/>
    </row>
    <row r="544" spans="13:15" x14ac:dyDescent="0.25">
      <c r="M544" s="126"/>
      <c r="N544" s="107"/>
      <c r="O544" s="126"/>
    </row>
    <row r="545" spans="13:15" x14ac:dyDescent="0.25">
      <c r="M545" s="126"/>
      <c r="N545" s="107"/>
      <c r="O545" s="126"/>
    </row>
    <row r="546" spans="13:15" x14ac:dyDescent="0.25">
      <c r="M546" s="126"/>
      <c r="N546" s="107"/>
      <c r="O546" s="126"/>
    </row>
    <row r="547" spans="13:15" x14ac:dyDescent="0.25">
      <c r="M547" s="126"/>
      <c r="N547" s="107"/>
      <c r="O547" s="126"/>
    </row>
    <row r="548" spans="13:15" x14ac:dyDescent="0.25">
      <c r="M548" s="126"/>
      <c r="N548" s="107"/>
      <c r="O548" s="126"/>
    </row>
    <row r="549" spans="13:15" x14ac:dyDescent="0.25">
      <c r="M549" s="126"/>
      <c r="N549" s="107"/>
      <c r="O549" s="126"/>
    </row>
    <row r="550" spans="13:15" x14ac:dyDescent="0.25">
      <c r="M550" s="126"/>
      <c r="N550" s="107"/>
      <c r="O550" s="126"/>
    </row>
    <row r="551" spans="13:15" x14ac:dyDescent="0.25">
      <c r="M551" s="126"/>
      <c r="N551" s="107"/>
      <c r="O551" s="126"/>
    </row>
    <row r="552" spans="13:15" x14ac:dyDescent="0.25">
      <c r="M552" s="126"/>
      <c r="N552" s="107"/>
      <c r="O552" s="126"/>
    </row>
    <row r="553" spans="13:15" x14ac:dyDescent="0.25">
      <c r="M553" s="126"/>
      <c r="N553" s="107"/>
      <c r="O553" s="126"/>
    </row>
    <row r="554" spans="13:15" x14ac:dyDescent="0.25">
      <c r="M554" s="126"/>
      <c r="N554" s="107"/>
      <c r="O554" s="126"/>
    </row>
    <row r="555" spans="13:15" x14ac:dyDescent="0.25">
      <c r="M555" s="126"/>
      <c r="N555" s="107"/>
      <c r="O555" s="126"/>
    </row>
    <row r="556" spans="13:15" x14ac:dyDescent="0.25">
      <c r="M556" s="126"/>
      <c r="N556" s="107"/>
      <c r="O556" s="126"/>
    </row>
    <row r="557" spans="13:15" x14ac:dyDescent="0.25">
      <c r="M557" s="126"/>
      <c r="N557" s="107"/>
      <c r="O557" s="126"/>
    </row>
    <row r="558" spans="13:15" x14ac:dyDescent="0.25">
      <c r="M558" s="126"/>
      <c r="N558" s="107"/>
      <c r="O558" s="126"/>
    </row>
    <row r="559" spans="13:15" x14ac:dyDescent="0.25">
      <c r="M559" s="126"/>
      <c r="N559" s="107"/>
      <c r="O559" s="126"/>
    </row>
    <row r="560" spans="13:15" x14ac:dyDescent="0.25">
      <c r="M560" s="126"/>
      <c r="N560" s="107"/>
      <c r="O560" s="126"/>
    </row>
    <row r="561" spans="13:15" x14ac:dyDescent="0.25">
      <c r="M561" s="126"/>
      <c r="N561" s="107"/>
      <c r="O561" s="126"/>
    </row>
    <row r="562" spans="13:15" x14ac:dyDescent="0.25">
      <c r="M562" s="126"/>
      <c r="N562" s="107"/>
      <c r="O562" s="126"/>
    </row>
    <row r="563" spans="13:15" x14ac:dyDescent="0.25">
      <c r="M563" s="126"/>
      <c r="N563" s="107"/>
      <c r="O563" s="126"/>
    </row>
    <row r="564" spans="13:15" x14ac:dyDescent="0.25">
      <c r="M564" s="126"/>
      <c r="N564" s="107"/>
      <c r="O564" s="126"/>
    </row>
    <row r="565" spans="13:15" x14ac:dyDescent="0.25">
      <c r="M565" s="126"/>
      <c r="N565" s="107"/>
      <c r="O565" s="126"/>
    </row>
    <row r="566" spans="13:15" x14ac:dyDescent="0.25">
      <c r="M566" s="126"/>
      <c r="N566" s="107"/>
      <c r="O566" s="126"/>
    </row>
    <row r="567" spans="13:15" x14ac:dyDescent="0.25">
      <c r="M567" s="126"/>
      <c r="N567" s="107"/>
      <c r="O567" s="126"/>
    </row>
    <row r="568" spans="13:15" x14ac:dyDescent="0.25">
      <c r="M568" s="126"/>
      <c r="N568" s="107"/>
      <c r="O568" s="126"/>
    </row>
    <row r="569" spans="13:15" x14ac:dyDescent="0.25">
      <c r="M569" s="126"/>
      <c r="N569" s="107"/>
      <c r="O569" s="126"/>
    </row>
    <row r="570" spans="13:15" x14ac:dyDescent="0.25">
      <c r="M570" s="126"/>
      <c r="N570" s="107"/>
      <c r="O570" s="126"/>
    </row>
    <row r="571" spans="13:15" x14ac:dyDescent="0.25">
      <c r="M571" s="126"/>
      <c r="N571" s="107"/>
      <c r="O571" s="126"/>
    </row>
    <row r="572" spans="13:15" x14ac:dyDescent="0.25">
      <c r="M572" s="126"/>
      <c r="N572" s="107"/>
      <c r="O572" s="126"/>
    </row>
    <row r="573" spans="13:15" x14ac:dyDescent="0.25">
      <c r="M573" s="126"/>
      <c r="N573" s="107"/>
      <c r="O573" s="126"/>
    </row>
    <row r="574" spans="13:15" x14ac:dyDescent="0.25">
      <c r="M574" s="126"/>
      <c r="N574" s="107"/>
      <c r="O574" s="126"/>
    </row>
    <row r="575" spans="13:15" x14ac:dyDescent="0.25">
      <c r="M575" s="126"/>
      <c r="N575" s="107"/>
      <c r="O575" s="126"/>
    </row>
    <row r="576" spans="13:15" x14ac:dyDescent="0.25">
      <c r="M576" s="126"/>
      <c r="N576" s="107"/>
      <c r="O576" s="126"/>
    </row>
    <row r="577" spans="13:15" x14ac:dyDescent="0.25">
      <c r="M577" s="126"/>
      <c r="N577" s="107"/>
      <c r="O577" s="126"/>
    </row>
    <row r="578" spans="13:15" x14ac:dyDescent="0.25">
      <c r="M578" s="126"/>
      <c r="N578" s="107"/>
      <c r="O578" s="126"/>
    </row>
    <row r="579" spans="13:15" x14ac:dyDescent="0.25">
      <c r="M579" s="126"/>
      <c r="N579" s="107"/>
      <c r="O579" s="126"/>
    </row>
    <row r="580" spans="13:15" x14ac:dyDescent="0.25">
      <c r="M580" s="126"/>
      <c r="N580" s="107"/>
      <c r="O580" s="126"/>
    </row>
    <row r="581" spans="13:15" x14ac:dyDescent="0.25">
      <c r="M581" s="126"/>
      <c r="N581" s="107"/>
      <c r="O581" s="126"/>
    </row>
    <row r="582" spans="13:15" x14ac:dyDescent="0.25">
      <c r="M582" s="126"/>
      <c r="N582" s="107"/>
      <c r="O582" s="126"/>
    </row>
    <row r="583" spans="13:15" x14ac:dyDescent="0.25">
      <c r="M583" s="126"/>
      <c r="N583" s="107"/>
      <c r="O583" s="126"/>
    </row>
    <row r="584" spans="13:15" x14ac:dyDescent="0.25">
      <c r="M584" s="126"/>
      <c r="N584" s="107"/>
      <c r="O584" s="126"/>
    </row>
    <row r="585" spans="13:15" x14ac:dyDescent="0.25">
      <c r="M585" s="126"/>
      <c r="N585" s="107"/>
      <c r="O585" s="126"/>
    </row>
    <row r="586" spans="13:15" x14ac:dyDescent="0.25">
      <c r="M586" s="126"/>
      <c r="N586" s="107"/>
      <c r="O586" s="126"/>
    </row>
    <row r="587" spans="13:15" x14ac:dyDescent="0.25">
      <c r="M587" s="126"/>
      <c r="N587" s="107"/>
      <c r="O587" s="126"/>
    </row>
    <row r="588" spans="13:15" x14ac:dyDescent="0.25">
      <c r="M588" s="126"/>
      <c r="N588" s="107"/>
      <c r="O588" s="126"/>
    </row>
    <row r="589" spans="13:15" x14ac:dyDescent="0.25">
      <c r="M589" s="126"/>
      <c r="N589" s="107"/>
      <c r="O589" s="126"/>
    </row>
    <row r="590" spans="13:15" x14ac:dyDescent="0.25">
      <c r="M590" s="126"/>
      <c r="N590" s="107"/>
      <c r="O590" s="126"/>
    </row>
    <row r="591" spans="13:15" x14ac:dyDescent="0.25">
      <c r="M591" s="126"/>
      <c r="N591" s="107"/>
      <c r="O591" s="126"/>
    </row>
    <row r="592" spans="13:15" x14ac:dyDescent="0.25">
      <c r="M592" s="126"/>
      <c r="N592" s="107"/>
      <c r="O592" s="126"/>
    </row>
    <row r="593" spans="13:15" x14ac:dyDescent="0.25">
      <c r="M593" s="126"/>
      <c r="N593" s="107"/>
      <c r="O593" s="126"/>
    </row>
    <row r="594" spans="13:15" x14ac:dyDescent="0.25">
      <c r="M594" s="126"/>
      <c r="N594" s="107"/>
      <c r="O594" s="126"/>
    </row>
    <row r="595" spans="13:15" x14ac:dyDescent="0.25">
      <c r="M595" s="126"/>
      <c r="N595" s="107"/>
      <c r="O595" s="126"/>
    </row>
    <row r="596" spans="13:15" x14ac:dyDescent="0.25">
      <c r="M596" s="126"/>
      <c r="N596" s="107"/>
      <c r="O596" s="126"/>
    </row>
    <row r="597" spans="13:15" x14ac:dyDescent="0.25">
      <c r="M597" s="126"/>
      <c r="N597" s="107"/>
      <c r="O597" s="126"/>
    </row>
    <row r="598" spans="13:15" x14ac:dyDescent="0.25">
      <c r="M598" s="126"/>
      <c r="N598" s="107"/>
      <c r="O598" s="126"/>
    </row>
    <row r="599" spans="13:15" x14ac:dyDescent="0.25">
      <c r="M599" s="126"/>
      <c r="N599" s="107"/>
      <c r="O599" s="126"/>
    </row>
    <row r="600" spans="13:15" x14ac:dyDescent="0.25">
      <c r="M600" s="126"/>
      <c r="N600" s="107"/>
      <c r="O600" s="126"/>
    </row>
    <row r="601" spans="13:15" x14ac:dyDescent="0.25">
      <c r="M601" s="126"/>
      <c r="N601" s="107"/>
      <c r="O601" s="126"/>
    </row>
    <row r="602" spans="13:15" x14ac:dyDescent="0.25">
      <c r="M602" s="126"/>
      <c r="N602" s="107"/>
      <c r="O602" s="126"/>
    </row>
    <row r="603" spans="13:15" x14ac:dyDescent="0.25">
      <c r="M603" s="126"/>
      <c r="N603" s="107"/>
      <c r="O603" s="126"/>
    </row>
    <row r="604" spans="13:15" x14ac:dyDescent="0.25">
      <c r="M604" s="126"/>
      <c r="N604" s="107"/>
      <c r="O604" s="126"/>
    </row>
    <row r="605" spans="13:15" x14ac:dyDescent="0.25">
      <c r="M605" s="126"/>
      <c r="N605" s="107"/>
      <c r="O605" s="126"/>
    </row>
    <row r="606" spans="13:15" x14ac:dyDescent="0.25">
      <c r="M606" s="126"/>
      <c r="N606" s="107"/>
      <c r="O606" s="126"/>
    </row>
    <row r="607" spans="13:15" x14ac:dyDescent="0.25">
      <c r="M607" s="126"/>
      <c r="N607" s="107"/>
      <c r="O607" s="126"/>
    </row>
    <row r="608" spans="13:15" x14ac:dyDescent="0.25">
      <c r="M608" s="126"/>
      <c r="N608" s="107"/>
      <c r="O608" s="126"/>
    </row>
    <row r="609" spans="13:15" x14ac:dyDescent="0.25">
      <c r="M609" s="126"/>
      <c r="N609" s="107"/>
      <c r="O609" s="126"/>
    </row>
    <row r="610" spans="13:15" x14ac:dyDescent="0.25">
      <c r="M610" s="126"/>
      <c r="N610" s="107"/>
      <c r="O610" s="126"/>
    </row>
    <row r="611" spans="13:15" x14ac:dyDescent="0.25">
      <c r="M611" s="126"/>
      <c r="N611" s="107"/>
      <c r="O611" s="126"/>
    </row>
    <row r="612" spans="13:15" x14ac:dyDescent="0.25">
      <c r="M612" s="126"/>
      <c r="N612" s="107"/>
      <c r="O612" s="126"/>
    </row>
    <row r="613" spans="13:15" x14ac:dyDescent="0.25">
      <c r="M613" s="126"/>
      <c r="N613" s="107"/>
      <c r="O613" s="126"/>
    </row>
    <row r="614" spans="13:15" x14ac:dyDescent="0.25">
      <c r="M614" s="126"/>
      <c r="N614" s="107"/>
      <c r="O614" s="126"/>
    </row>
    <row r="615" spans="13:15" x14ac:dyDescent="0.25">
      <c r="M615" s="126"/>
      <c r="N615" s="107"/>
      <c r="O615" s="126"/>
    </row>
    <row r="616" spans="13:15" x14ac:dyDescent="0.25">
      <c r="M616" s="126"/>
      <c r="N616" s="107"/>
      <c r="O616" s="126"/>
    </row>
    <row r="617" spans="13:15" x14ac:dyDescent="0.25">
      <c r="M617" s="126"/>
      <c r="N617" s="107"/>
      <c r="O617" s="126"/>
    </row>
    <row r="618" spans="13:15" x14ac:dyDescent="0.25">
      <c r="M618" s="126"/>
      <c r="N618" s="107"/>
      <c r="O618" s="126"/>
    </row>
    <row r="619" spans="13:15" x14ac:dyDescent="0.25">
      <c r="M619" s="126"/>
      <c r="N619" s="107"/>
      <c r="O619" s="126"/>
    </row>
    <row r="620" spans="13:15" x14ac:dyDescent="0.25">
      <c r="M620" s="126"/>
      <c r="N620" s="107"/>
      <c r="O620" s="126"/>
    </row>
    <row r="621" spans="13:15" x14ac:dyDescent="0.25">
      <c r="M621" s="126"/>
      <c r="N621" s="107"/>
      <c r="O621" s="126"/>
    </row>
    <row r="622" spans="13:15" x14ac:dyDescent="0.25">
      <c r="M622" s="126"/>
      <c r="N622" s="107"/>
      <c r="O622" s="126"/>
    </row>
    <row r="623" spans="13:15" x14ac:dyDescent="0.25">
      <c r="M623" s="126"/>
      <c r="N623" s="107"/>
      <c r="O623" s="126"/>
    </row>
    <row r="624" spans="13:15" x14ac:dyDescent="0.25">
      <c r="M624" s="126"/>
      <c r="N624" s="107"/>
      <c r="O624" s="126"/>
    </row>
    <row r="625" spans="13:15" x14ac:dyDescent="0.25">
      <c r="M625" s="126"/>
      <c r="N625" s="107"/>
      <c r="O625" s="126"/>
    </row>
    <row r="626" spans="13:15" x14ac:dyDescent="0.25">
      <c r="M626" s="126"/>
      <c r="N626" s="107"/>
      <c r="O626" s="126"/>
    </row>
    <row r="627" spans="13:15" x14ac:dyDescent="0.25">
      <c r="M627" s="126"/>
      <c r="N627" s="107"/>
      <c r="O627" s="126"/>
    </row>
    <row r="628" spans="13:15" x14ac:dyDescent="0.25">
      <c r="M628" s="126"/>
      <c r="N628" s="107"/>
      <c r="O628" s="126"/>
    </row>
    <row r="629" spans="13:15" x14ac:dyDescent="0.25">
      <c r="M629" s="126"/>
      <c r="N629" s="107"/>
      <c r="O629" s="126"/>
    </row>
    <row r="630" spans="13:15" x14ac:dyDescent="0.25">
      <c r="M630" s="126"/>
      <c r="N630" s="107"/>
      <c r="O630" s="126"/>
    </row>
    <row r="631" spans="13:15" x14ac:dyDescent="0.25">
      <c r="M631" s="126"/>
      <c r="N631" s="107"/>
      <c r="O631" s="126"/>
    </row>
    <row r="632" spans="13:15" x14ac:dyDescent="0.25">
      <c r="M632" s="126"/>
      <c r="N632" s="107"/>
      <c r="O632" s="126"/>
    </row>
    <row r="633" spans="13:15" x14ac:dyDescent="0.25">
      <c r="M633" s="126"/>
      <c r="N633" s="107"/>
      <c r="O633" s="126"/>
    </row>
    <row r="634" spans="13:15" x14ac:dyDescent="0.25">
      <c r="M634" s="126"/>
      <c r="N634" s="107"/>
      <c r="O634" s="126"/>
    </row>
    <row r="635" spans="13:15" x14ac:dyDescent="0.25">
      <c r="M635" s="126"/>
      <c r="N635" s="107"/>
      <c r="O635" s="126"/>
    </row>
    <row r="636" spans="13:15" x14ac:dyDescent="0.25">
      <c r="M636" s="126"/>
      <c r="N636" s="107"/>
      <c r="O636" s="126"/>
    </row>
    <row r="637" spans="13:15" x14ac:dyDescent="0.25">
      <c r="M637" s="126"/>
      <c r="N637" s="107"/>
      <c r="O637" s="126"/>
    </row>
    <row r="638" spans="13:15" x14ac:dyDescent="0.25">
      <c r="M638" s="126"/>
      <c r="N638" s="107"/>
      <c r="O638" s="126"/>
    </row>
    <row r="639" spans="13:15" x14ac:dyDescent="0.25">
      <c r="M639" s="126"/>
      <c r="N639" s="107"/>
      <c r="O639" s="126"/>
    </row>
    <row r="640" spans="13:15" x14ac:dyDescent="0.25">
      <c r="M640" s="126"/>
      <c r="N640" s="107"/>
      <c r="O640" s="126"/>
    </row>
    <row r="641" spans="13:15" x14ac:dyDescent="0.25">
      <c r="M641" s="126"/>
      <c r="N641" s="107"/>
      <c r="O641" s="126"/>
    </row>
    <row r="642" spans="13:15" x14ac:dyDescent="0.25">
      <c r="M642" s="126"/>
      <c r="N642" s="107"/>
      <c r="O642" s="126"/>
    </row>
    <row r="643" spans="13:15" x14ac:dyDescent="0.25">
      <c r="M643" s="126"/>
      <c r="N643" s="107"/>
      <c r="O643" s="126"/>
    </row>
    <row r="644" spans="13:15" x14ac:dyDescent="0.25">
      <c r="M644" s="126"/>
      <c r="N644" s="107"/>
      <c r="O644" s="126"/>
    </row>
    <row r="645" spans="13:15" x14ac:dyDescent="0.25">
      <c r="M645" s="126"/>
      <c r="N645" s="107"/>
      <c r="O645" s="126"/>
    </row>
    <row r="646" spans="13:15" x14ac:dyDescent="0.25">
      <c r="M646" s="126"/>
      <c r="N646" s="107"/>
      <c r="O646" s="126"/>
    </row>
    <row r="647" spans="13:15" x14ac:dyDescent="0.25">
      <c r="M647" s="126"/>
      <c r="N647" s="107"/>
      <c r="O647" s="126"/>
    </row>
    <row r="648" spans="13:15" x14ac:dyDescent="0.25">
      <c r="M648" s="126"/>
      <c r="N648" s="107"/>
      <c r="O648" s="126"/>
    </row>
    <row r="649" spans="13:15" x14ac:dyDescent="0.25">
      <c r="M649" s="126"/>
      <c r="N649" s="107"/>
      <c r="O649" s="126"/>
    </row>
    <row r="650" spans="13:15" x14ac:dyDescent="0.25">
      <c r="M650" s="126"/>
      <c r="N650" s="107"/>
      <c r="O650" s="126"/>
    </row>
    <row r="651" spans="13:15" x14ac:dyDescent="0.25">
      <c r="M651" s="126"/>
      <c r="N651" s="107"/>
      <c r="O651" s="126"/>
    </row>
    <row r="652" spans="13:15" x14ac:dyDescent="0.25">
      <c r="M652" s="126"/>
      <c r="N652" s="107"/>
      <c r="O652" s="126"/>
    </row>
    <row r="653" spans="13:15" x14ac:dyDescent="0.25">
      <c r="M653" s="126"/>
      <c r="N653" s="107"/>
      <c r="O653" s="126"/>
    </row>
    <row r="654" spans="13:15" x14ac:dyDescent="0.25">
      <c r="M654" s="126"/>
      <c r="N654" s="107"/>
      <c r="O654" s="126"/>
    </row>
    <row r="655" spans="13:15" x14ac:dyDescent="0.25">
      <c r="M655" s="126"/>
      <c r="N655" s="107"/>
      <c r="O655" s="126"/>
    </row>
    <row r="656" spans="13:15" x14ac:dyDescent="0.25">
      <c r="M656" s="126"/>
      <c r="N656" s="107"/>
      <c r="O656" s="126"/>
    </row>
    <row r="657" spans="13:15" x14ac:dyDescent="0.25">
      <c r="M657" s="126"/>
      <c r="N657" s="107"/>
      <c r="O657" s="126"/>
    </row>
    <row r="658" spans="13:15" x14ac:dyDescent="0.25">
      <c r="M658" s="126"/>
      <c r="N658" s="107"/>
      <c r="O658" s="126"/>
    </row>
    <row r="659" spans="13:15" x14ac:dyDescent="0.25">
      <c r="M659" s="126"/>
      <c r="N659" s="107"/>
      <c r="O659" s="126"/>
    </row>
    <row r="660" spans="13:15" x14ac:dyDescent="0.25">
      <c r="M660" s="126"/>
      <c r="N660" s="107"/>
      <c r="O660" s="126"/>
    </row>
    <row r="661" spans="13:15" x14ac:dyDescent="0.25">
      <c r="M661" s="126"/>
      <c r="N661" s="107"/>
      <c r="O661" s="126"/>
    </row>
    <row r="662" spans="13:15" x14ac:dyDescent="0.25">
      <c r="M662" s="126"/>
      <c r="N662" s="107"/>
      <c r="O662" s="126"/>
    </row>
    <row r="663" spans="13:15" x14ac:dyDescent="0.25">
      <c r="M663" s="126"/>
      <c r="N663" s="107"/>
      <c r="O663" s="126"/>
    </row>
    <row r="664" spans="13:15" x14ac:dyDescent="0.25">
      <c r="M664" s="126"/>
      <c r="N664" s="107"/>
      <c r="O664" s="126"/>
    </row>
    <row r="665" spans="13:15" x14ac:dyDescent="0.25">
      <c r="M665" s="126"/>
      <c r="N665" s="107"/>
      <c r="O665" s="126"/>
    </row>
    <row r="666" spans="13:15" x14ac:dyDescent="0.25">
      <c r="M666" s="126"/>
      <c r="N666" s="107"/>
      <c r="O666" s="126"/>
    </row>
    <row r="667" spans="13:15" x14ac:dyDescent="0.25">
      <c r="M667" s="126"/>
      <c r="N667" s="107"/>
      <c r="O667" s="126"/>
    </row>
    <row r="668" spans="13:15" x14ac:dyDescent="0.25">
      <c r="M668" s="126"/>
      <c r="N668" s="107"/>
      <c r="O668" s="126"/>
    </row>
    <row r="669" spans="13:15" x14ac:dyDescent="0.25">
      <c r="M669" s="126"/>
      <c r="N669" s="107"/>
      <c r="O669" s="126"/>
    </row>
    <row r="670" spans="13:15" x14ac:dyDescent="0.25">
      <c r="M670" s="126"/>
      <c r="N670" s="107"/>
      <c r="O670" s="126"/>
    </row>
    <row r="671" spans="13:15" x14ac:dyDescent="0.25">
      <c r="M671" s="126"/>
      <c r="N671" s="107"/>
      <c r="O671" s="126"/>
    </row>
    <row r="672" spans="13:15" x14ac:dyDescent="0.25">
      <c r="M672" s="126"/>
      <c r="N672" s="107"/>
      <c r="O672" s="126"/>
    </row>
    <row r="673" spans="13:15" x14ac:dyDescent="0.25">
      <c r="M673" s="126"/>
      <c r="N673" s="107"/>
      <c r="O673" s="126"/>
    </row>
    <row r="674" spans="13:15" x14ac:dyDescent="0.25">
      <c r="M674" s="126"/>
      <c r="N674" s="107"/>
      <c r="O674" s="126"/>
    </row>
    <row r="675" spans="13:15" x14ac:dyDescent="0.25">
      <c r="M675" s="126"/>
      <c r="N675" s="107"/>
      <c r="O675" s="126"/>
    </row>
    <row r="676" spans="13:15" x14ac:dyDescent="0.25">
      <c r="M676" s="126"/>
      <c r="N676" s="107"/>
      <c r="O676" s="126"/>
    </row>
    <row r="677" spans="13:15" x14ac:dyDescent="0.25">
      <c r="M677" s="126"/>
      <c r="N677" s="107"/>
      <c r="O677" s="126"/>
    </row>
    <row r="678" spans="13:15" x14ac:dyDescent="0.25">
      <c r="M678" s="126"/>
      <c r="N678" s="107"/>
      <c r="O678" s="126"/>
    </row>
    <row r="679" spans="13:15" x14ac:dyDescent="0.25">
      <c r="M679" s="126"/>
      <c r="N679" s="107"/>
      <c r="O679" s="126"/>
    </row>
    <row r="680" spans="13:15" x14ac:dyDescent="0.25">
      <c r="M680" s="126"/>
      <c r="N680" s="107"/>
      <c r="O680" s="126"/>
    </row>
    <row r="681" spans="13:15" x14ac:dyDescent="0.25">
      <c r="M681" s="126"/>
      <c r="N681" s="107"/>
      <c r="O681" s="126"/>
    </row>
    <row r="682" spans="13:15" x14ac:dyDescent="0.25">
      <c r="M682" s="126"/>
      <c r="N682" s="107"/>
      <c r="O682" s="126"/>
    </row>
    <row r="683" spans="13:15" x14ac:dyDescent="0.25">
      <c r="M683" s="126"/>
      <c r="N683" s="107"/>
      <c r="O683" s="126"/>
    </row>
    <row r="684" spans="13:15" x14ac:dyDescent="0.25">
      <c r="M684" s="126"/>
      <c r="N684" s="107"/>
      <c r="O684" s="126"/>
    </row>
    <row r="685" spans="13:15" x14ac:dyDescent="0.25">
      <c r="M685" s="126"/>
      <c r="N685" s="107"/>
      <c r="O685" s="126"/>
    </row>
    <row r="686" spans="13:15" x14ac:dyDescent="0.25">
      <c r="M686" s="126"/>
      <c r="N686" s="107"/>
      <c r="O686" s="126"/>
    </row>
    <row r="687" spans="13:15" x14ac:dyDescent="0.25">
      <c r="M687" s="126"/>
      <c r="N687" s="107"/>
      <c r="O687" s="126"/>
    </row>
    <row r="688" spans="13:15" x14ac:dyDescent="0.25">
      <c r="M688" s="126"/>
      <c r="N688" s="107"/>
      <c r="O688" s="126"/>
    </row>
    <row r="689" spans="13:15" x14ac:dyDescent="0.25">
      <c r="M689" s="126"/>
      <c r="N689" s="107"/>
      <c r="O689" s="126"/>
    </row>
    <row r="690" spans="13:15" x14ac:dyDescent="0.25">
      <c r="M690" s="126"/>
      <c r="N690" s="107"/>
      <c r="O690" s="126"/>
    </row>
    <row r="691" spans="13:15" x14ac:dyDescent="0.25">
      <c r="M691" s="126"/>
      <c r="N691" s="107"/>
      <c r="O691" s="126"/>
    </row>
    <row r="692" spans="13:15" x14ac:dyDescent="0.25">
      <c r="M692" s="126"/>
      <c r="N692" s="107"/>
      <c r="O692" s="126"/>
    </row>
    <row r="693" spans="13:15" x14ac:dyDescent="0.25">
      <c r="M693" s="126"/>
      <c r="N693" s="107"/>
      <c r="O693" s="126"/>
    </row>
    <row r="694" spans="13:15" x14ac:dyDescent="0.25">
      <c r="M694" s="126"/>
      <c r="N694" s="107"/>
      <c r="O694" s="126"/>
    </row>
    <row r="695" spans="13:15" x14ac:dyDescent="0.25">
      <c r="M695" s="126"/>
      <c r="N695" s="107"/>
      <c r="O695" s="126"/>
    </row>
    <row r="696" spans="13:15" x14ac:dyDescent="0.25">
      <c r="M696" s="126"/>
      <c r="N696" s="107"/>
      <c r="O696" s="126"/>
    </row>
    <row r="697" spans="13:15" x14ac:dyDescent="0.25">
      <c r="M697" s="126"/>
      <c r="N697" s="107"/>
      <c r="O697" s="126"/>
    </row>
    <row r="698" spans="13:15" x14ac:dyDescent="0.25">
      <c r="M698" s="126"/>
      <c r="N698" s="107"/>
      <c r="O698" s="126"/>
    </row>
    <row r="699" spans="13:15" x14ac:dyDescent="0.25">
      <c r="M699" s="126"/>
      <c r="N699" s="107"/>
      <c r="O699" s="126"/>
    </row>
    <row r="700" spans="13:15" x14ac:dyDescent="0.25">
      <c r="M700" s="126"/>
      <c r="N700" s="107"/>
      <c r="O700" s="126"/>
    </row>
    <row r="701" spans="13:15" x14ac:dyDescent="0.25">
      <c r="M701" s="126"/>
      <c r="N701" s="107"/>
      <c r="O701" s="126"/>
    </row>
    <row r="702" spans="13:15" x14ac:dyDescent="0.25">
      <c r="M702" s="126"/>
      <c r="N702" s="107"/>
      <c r="O702" s="126"/>
    </row>
    <row r="703" spans="13:15" x14ac:dyDescent="0.25">
      <c r="M703" s="126"/>
      <c r="N703" s="107"/>
      <c r="O703" s="126"/>
    </row>
    <row r="704" spans="13:15" x14ac:dyDescent="0.25">
      <c r="M704" s="126"/>
      <c r="N704" s="107"/>
      <c r="O704" s="126"/>
    </row>
    <row r="705" spans="13:15" x14ac:dyDescent="0.25">
      <c r="M705" s="126"/>
      <c r="N705" s="107"/>
      <c r="O705" s="126"/>
    </row>
    <row r="706" spans="13:15" x14ac:dyDescent="0.25">
      <c r="M706" s="126"/>
      <c r="N706" s="107"/>
      <c r="O706" s="126"/>
    </row>
    <row r="707" spans="13:15" x14ac:dyDescent="0.25">
      <c r="M707" s="126"/>
      <c r="N707" s="107"/>
      <c r="O707" s="126"/>
    </row>
    <row r="708" spans="13:15" x14ac:dyDescent="0.25">
      <c r="M708" s="126"/>
      <c r="N708" s="107"/>
      <c r="O708" s="126"/>
    </row>
    <row r="709" spans="13:15" x14ac:dyDescent="0.25">
      <c r="M709" s="126"/>
      <c r="N709" s="107"/>
      <c r="O709" s="126"/>
    </row>
    <row r="710" spans="13:15" x14ac:dyDescent="0.25">
      <c r="M710" s="126"/>
      <c r="N710" s="107"/>
      <c r="O710" s="126"/>
    </row>
    <row r="711" spans="13:15" x14ac:dyDescent="0.25">
      <c r="M711" s="126"/>
      <c r="N711" s="107"/>
      <c r="O711" s="126"/>
    </row>
    <row r="712" spans="13:15" x14ac:dyDescent="0.25">
      <c r="M712" s="126"/>
      <c r="N712" s="107"/>
      <c r="O712" s="126"/>
    </row>
    <row r="713" spans="13:15" x14ac:dyDescent="0.25">
      <c r="M713" s="126"/>
      <c r="N713" s="107"/>
      <c r="O713" s="126"/>
    </row>
    <row r="714" spans="13:15" x14ac:dyDescent="0.25">
      <c r="M714" s="126"/>
      <c r="N714" s="107"/>
      <c r="O714" s="126"/>
    </row>
    <row r="715" spans="13:15" x14ac:dyDescent="0.25">
      <c r="M715" s="126"/>
      <c r="N715" s="107"/>
      <c r="O715" s="126"/>
    </row>
    <row r="716" spans="13:15" x14ac:dyDescent="0.25">
      <c r="M716" s="126"/>
      <c r="N716" s="107"/>
      <c r="O716" s="126"/>
    </row>
    <row r="717" spans="13:15" x14ac:dyDescent="0.25">
      <c r="M717" s="126"/>
      <c r="N717" s="107"/>
      <c r="O717" s="126"/>
    </row>
    <row r="718" spans="13:15" x14ac:dyDescent="0.25">
      <c r="M718" s="126"/>
      <c r="N718" s="107"/>
      <c r="O718" s="126"/>
    </row>
    <row r="719" spans="13:15" x14ac:dyDescent="0.25">
      <c r="M719" s="126"/>
      <c r="N719" s="107"/>
      <c r="O719" s="126"/>
    </row>
    <row r="720" spans="13:15" x14ac:dyDescent="0.25">
      <c r="M720" s="126"/>
      <c r="N720" s="107"/>
      <c r="O720" s="126"/>
    </row>
    <row r="721" spans="13:15" x14ac:dyDescent="0.25">
      <c r="M721" s="126"/>
      <c r="N721" s="107"/>
      <c r="O721" s="126"/>
    </row>
    <row r="722" spans="13:15" x14ac:dyDescent="0.25">
      <c r="M722" s="126"/>
      <c r="N722" s="107"/>
      <c r="O722" s="126"/>
    </row>
    <row r="723" spans="13:15" x14ac:dyDescent="0.25">
      <c r="M723" s="126"/>
      <c r="N723" s="107"/>
      <c r="O723" s="126"/>
    </row>
    <row r="724" spans="13:15" x14ac:dyDescent="0.25">
      <c r="M724" s="126"/>
      <c r="N724" s="107"/>
      <c r="O724" s="126"/>
    </row>
    <row r="725" spans="13:15" x14ac:dyDescent="0.25">
      <c r="M725" s="126"/>
      <c r="N725" s="107"/>
      <c r="O725" s="126"/>
    </row>
    <row r="726" spans="13:15" x14ac:dyDescent="0.25">
      <c r="M726" s="126"/>
      <c r="N726" s="107"/>
      <c r="O726" s="126"/>
    </row>
    <row r="727" spans="13:15" x14ac:dyDescent="0.25">
      <c r="M727" s="126"/>
      <c r="N727" s="107"/>
      <c r="O727" s="126"/>
    </row>
    <row r="728" spans="13:15" x14ac:dyDescent="0.25">
      <c r="M728" s="126"/>
      <c r="N728" s="107"/>
      <c r="O728" s="126"/>
    </row>
    <row r="729" spans="13:15" x14ac:dyDescent="0.25">
      <c r="M729" s="126"/>
      <c r="N729" s="107"/>
      <c r="O729" s="126"/>
    </row>
    <row r="730" spans="13:15" x14ac:dyDescent="0.25">
      <c r="M730" s="126"/>
      <c r="N730" s="107"/>
      <c r="O730" s="126"/>
    </row>
    <row r="731" spans="13:15" x14ac:dyDescent="0.25">
      <c r="M731" s="126"/>
      <c r="N731" s="107"/>
      <c r="O731" s="126"/>
    </row>
    <row r="732" spans="13:15" x14ac:dyDescent="0.25">
      <c r="M732" s="126"/>
      <c r="N732" s="107"/>
      <c r="O732" s="126"/>
    </row>
    <row r="733" spans="13:15" x14ac:dyDescent="0.25">
      <c r="M733" s="126"/>
      <c r="N733" s="107"/>
      <c r="O733" s="126"/>
    </row>
    <row r="734" spans="13:15" x14ac:dyDescent="0.25">
      <c r="M734" s="126"/>
      <c r="N734" s="107"/>
      <c r="O734" s="126"/>
    </row>
    <row r="735" spans="13:15" x14ac:dyDescent="0.25">
      <c r="M735" s="126"/>
      <c r="N735" s="107"/>
      <c r="O735" s="126"/>
    </row>
    <row r="736" spans="13:15" x14ac:dyDescent="0.25">
      <c r="M736" s="126"/>
      <c r="N736" s="107"/>
      <c r="O736" s="126"/>
    </row>
    <row r="737" spans="13:15" x14ac:dyDescent="0.25">
      <c r="M737" s="126"/>
      <c r="N737" s="107"/>
      <c r="O737" s="126"/>
    </row>
    <row r="738" spans="13:15" x14ac:dyDescent="0.25">
      <c r="M738" s="126"/>
      <c r="N738" s="107"/>
      <c r="O738" s="126"/>
    </row>
    <row r="739" spans="13:15" x14ac:dyDescent="0.25">
      <c r="M739" s="126"/>
      <c r="N739" s="107"/>
      <c r="O739" s="126"/>
    </row>
    <row r="740" spans="13:15" x14ac:dyDescent="0.25">
      <c r="M740" s="126"/>
      <c r="N740" s="107"/>
      <c r="O740" s="126"/>
    </row>
    <row r="741" spans="13:15" x14ac:dyDescent="0.25">
      <c r="M741" s="126"/>
      <c r="N741" s="107"/>
      <c r="O741" s="126"/>
    </row>
    <row r="742" spans="13:15" x14ac:dyDescent="0.25">
      <c r="M742" s="126"/>
      <c r="N742" s="107"/>
      <c r="O742" s="126"/>
    </row>
    <row r="743" spans="13:15" x14ac:dyDescent="0.25">
      <c r="M743" s="126"/>
      <c r="N743" s="107"/>
      <c r="O743" s="126"/>
    </row>
    <row r="744" spans="13:15" x14ac:dyDescent="0.25">
      <c r="M744" s="126"/>
      <c r="N744" s="107"/>
      <c r="O744" s="126"/>
    </row>
    <row r="745" spans="13:15" x14ac:dyDescent="0.25">
      <c r="M745" s="126"/>
      <c r="N745" s="107"/>
      <c r="O745" s="126"/>
    </row>
    <row r="746" spans="13:15" x14ac:dyDescent="0.25">
      <c r="M746" s="126"/>
      <c r="N746" s="107"/>
      <c r="O746" s="126"/>
    </row>
    <row r="747" spans="13:15" x14ac:dyDescent="0.25">
      <c r="M747" s="126"/>
      <c r="N747" s="107"/>
      <c r="O747" s="126"/>
    </row>
    <row r="748" spans="13:15" x14ac:dyDescent="0.25">
      <c r="M748" s="126"/>
      <c r="N748" s="107"/>
      <c r="O748" s="126"/>
    </row>
    <row r="749" spans="13:15" x14ac:dyDescent="0.25">
      <c r="M749" s="126"/>
      <c r="N749" s="107"/>
      <c r="O749" s="126"/>
    </row>
    <row r="750" spans="13:15" x14ac:dyDescent="0.25">
      <c r="M750" s="126"/>
      <c r="N750" s="107"/>
      <c r="O750" s="126"/>
    </row>
    <row r="751" spans="13:15" x14ac:dyDescent="0.25">
      <c r="M751" s="126"/>
      <c r="N751" s="107"/>
      <c r="O751" s="126"/>
    </row>
    <row r="752" spans="13:15" x14ac:dyDescent="0.25">
      <c r="M752" s="126"/>
      <c r="N752" s="107"/>
      <c r="O752" s="126"/>
    </row>
    <row r="753" spans="13:15" x14ac:dyDescent="0.25">
      <c r="M753" s="126"/>
      <c r="N753" s="107"/>
      <c r="O753" s="126"/>
    </row>
    <row r="754" spans="13:15" x14ac:dyDescent="0.25">
      <c r="M754" s="126"/>
      <c r="N754" s="107"/>
      <c r="O754" s="126"/>
    </row>
    <row r="755" spans="13:15" x14ac:dyDescent="0.25">
      <c r="M755" s="126"/>
      <c r="N755" s="107"/>
      <c r="O755" s="126"/>
    </row>
    <row r="756" spans="13:15" x14ac:dyDescent="0.25">
      <c r="M756" s="126"/>
      <c r="N756" s="107"/>
      <c r="O756" s="126"/>
    </row>
    <row r="757" spans="13:15" x14ac:dyDescent="0.25">
      <c r="M757" s="126"/>
      <c r="N757" s="107"/>
      <c r="O757" s="126"/>
    </row>
    <row r="758" spans="13:15" x14ac:dyDescent="0.25">
      <c r="M758" s="126"/>
      <c r="N758" s="107"/>
      <c r="O758" s="126"/>
    </row>
    <row r="759" spans="13:15" x14ac:dyDescent="0.25">
      <c r="M759" s="126"/>
      <c r="N759" s="107"/>
      <c r="O759" s="126"/>
    </row>
    <row r="760" spans="13:15" x14ac:dyDescent="0.25">
      <c r="M760" s="126"/>
      <c r="N760" s="107"/>
      <c r="O760" s="126"/>
    </row>
    <row r="761" spans="13:15" x14ac:dyDescent="0.25">
      <c r="M761" s="126"/>
      <c r="N761" s="107"/>
      <c r="O761" s="126"/>
    </row>
    <row r="762" spans="13:15" x14ac:dyDescent="0.25">
      <c r="M762" s="126"/>
      <c r="N762" s="107"/>
      <c r="O762" s="126"/>
    </row>
    <row r="763" spans="13:15" x14ac:dyDescent="0.25">
      <c r="M763" s="126"/>
      <c r="N763" s="107"/>
      <c r="O763" s="126"/>
    </row>
    <row r="764" spans="13:15" x14ac:dyDescent="0.25">
      <c r="M764" s="126"/>
      <c r="N764" s="107"/>
      <c r="O764" s="126"/>
    </row>
    <row r="765" spans="13:15" x14ac:dyDescent="0.25">
      <c r="M765" s="126"/>
      <c r="N765" s="107"/>
      <c r="O765" s="126"/>
    </row>
    <row r="766" spans="13:15" x14ac:dyDescent="0.25">
      <c r="M766" s="126"/>
      <c r="N766" s="107"/>
      <c r="O766" s="126"/>
    </row>
    <row r="767" spans="13:15" x14ac:dyDescent="0.25">
      <c r="M767" s="126"/>
      <c r="N767" s="107"/>
      <c r="O767" s="126"/>
    </row>
    <row r="768" spans="13:15" x14ac:dyDescent="0.25">
      <c r="M768" s="126"/>
      <c r="N768" s="107"/>
      <c r="O768" s="126"/>
    </row>
    <row r="769" spans="13:15" x14ac:dyDescent="0.25">
      <c r="M769" s="126"/>
      <c r="N769" s="107"/>
      <c r="O769" s="126"/>
    </row>
    <row r="770" spans="13:15" x14ac:dyDescent="0.25">
      <c r="M770" s="126"/>
      <c r="N770" s="107"/>
      <c r="O770" s="126"/>
    </row>
    <row r="771" spans="13:15" x14ac:dyDescent="0.25">
      <c r="M771" s="126"/>
      <c r="N771" s="107"/>
      <c r="O771" s="126"/>
    </row>
    <row r="772" spans="13:15" x14ac:dyDescent="0.25">
      <c r="M772" s="126"/>
      <c r="N772" s="107"/>
      <c r="O772" s="126"/>
    </row>
    <row r="773" spans="13:15" x14ac:dyDescent="0.25">
      <c r="M773" s="126"/>
      <c r="N773" s="107"/>
      <c r="O773" s="126"/>
    </row>
    <row r="774" spans="13:15" x14ac:dyDescent="0.25">
      <c r="M774" s="126"/>
      <c r="N774" s="107"/>
      <c r="O774" s="126"/>
    </row>
    <row r="775" spans="13:15" x14ac:dyDescent="0.25">
      <c r="M775" s="126"/>
      <c r="N775" s="107"/>
      <c r="O775" s="126"/>
    </row>
    <row r="776" spans="13:15" x14ac:dyDescent="0.25">
      <c r="M776" s="126"/>
      <c r="N776" s="107"/>
      <c r="O776" s="126"/>
    </row>
    <row r="777" spans="13:15" x14ac:dyDescent="0.25">
      <c r="M777" s="126"/>
      <c r="N777" s="107"/>
      <c r="O777" s="126"/>
    </row>
    <row r="778" spans="13:15" x14ac:dyDescent="0.25">
      <c r="M778" s="126"/>
      <c r="N778" s="107"/>
      <c r="O778" s="126"/>
    </row>
    <row r="779" spans="13:15" x14ac:dyDescent="0.25">
      <c r="M779" s="126"/>
      <c r="N779" s="107"/>
      <c r="O779" s="126"/>
    </row>
    <row r="780" spans="13:15" x14ac:dyDescent="0.25">
      <c r="M780" s="126"/>
      <c r="N780" s="107"/>
      <c r="O780" s="126"/>
    </row>
    <row r="781" spans="13:15" x14ac:dyDescent="0.25">
      <c r="M781" s="126"/>
      <c r="N781" s="107"/>
      <c r="O781" s="126"/>
    </row>
    <row r="782" spans="13:15" x14ac:dyDescent="0.25">
      <c r="M782" s="126"/>
      <c r="N782" s="107"/>
      <c r="O782" s="126"/>
    </row>
    <row r="783" spans="13:15" x14ac:dyDescent="0.25">
      <c r="M783" s="126"/>
      <c r="N783" s="107"/>
      <c r="O783" s="126"/>
    </row>
    <row r="784" spans="13:15" x14ac:dyDescent="0.25">
      <c r="M784" s="126"/>
      <c r="N784" s="107"/>
      <c r="O784" s="126"/>
    </row>
    <row r="785" spans="13:15" x14ac:dyDescent="0.25">
      <c r="M785" s="126"/>
      <c r="N785" s="107"/>
      <c r="O785" s="126"/>
    </row>
    <row r="786" spans="13:15" x14ac:dyDescent="0.25">
      <c r="M786" s="126"/>
      <c r="N786" s="107"/>
      <c r="O786" s="126"/>
    </row>
    <row r="787" spans="13:15" x14ac:dyDescent="0.25">
      <c r="M787" s="126"/>
      <c r="N787" s="107"/>
      <c r="O787" s="126"/>
    </row>
    <row r="788" spans="13:15" x14ac:dyDescent="0.25">
      <c r="M788" s="126"/>
      <c r="N788" s="107"/>
      <c r="O788" s="126"/>
    </row>
    <row r="789" spans="13:15" x14ac:dyDescent="0.25">
      <c r="M789" s="126"/>
      <c r="N789" s="107"/>
      <c r="O789" s="126"/>
    </row>
    <row r="790" spans="13:15" x14ac:dyDescent="0.25">
      <c r="M790" s="126"/>
      <c r="N790" s="107"/>
      <c r="O790" s="126"/>
    </row>
    <row r="791" spans="13:15" x14ac:dyDescent="0.25">
      <c r="M791" s="126"/>
      <c r="N791" s="107"/>
      <c r="O791" s="126"/>
    </row>
    <row r="792" spans="13:15" x14ac:dyDescent="0.25">
      <c r="M792" s="126"/>
      <c r="N792" s="107"/>
      <c r="O792" s="126"/>
    </row>
    <row r="793" spans="13:15" x14ac:dyDescent="0.25">
      <c r="M793" s="126"/>
      <c r="N793" s="107"/>
      <c r="O793" s="126"/>
    </row>
    <row r="794" spans="13:15" x14ac:dyDescent="0.25">
      <c r="M794" s="126"/>
      <c r="N794" s="107"/>
      <c r="O794" s="126"/>
    </row>
    <row r="795" spans="13:15" x14ac:dyDescent="0.25">
      <c r="M795" s="126"/>
      <c r="N795" s="107"/>
      <c r="O795" s="126"/>
    </row>
    <row r="796" spans="13:15" x14ac:dyDescent="0.25">
      <c r="M796" s="126"/>
      <c r="N796" s="107"/>
      <c r="O796" s="126"/>
    </row>
    <row r="797" spans="13:15" x14ac:dyDescent="0.25">
      <c r="M797" s="126"/>
      <c r="N797" s="107"/>
      <c r="O797" s="126"/>
    </row>
    <row r="798" spans="13:15" x14ac:dyDescent="0.25">
      <c r="M798" s="126"/>
      <c r="N798" s="107"/>
      <c r="O798" s="126"/>
    </row>
    <row r="799" spans="13:15" x14ac:dyDescent="0.25">
      <c r="M799" s="126"/>
      <c r="N799" s="107"/>
      <c r="O799" s="126"/>
    </row>
    <row r="800" spans="13:15" x14ac:dyDescent="0.25">
      <c r="M800" s="126"/>
      <c r="N800" s="107"/>
      <c r="O800" s="126"/>
    </row>
    <row r="801" spans="13:15" x14ac:dyDescent="0.25">
      <c r="M801" s="126"/>
      <c r="N801" s="107"/>
      <c r="O801" s="126"/>
    </row>
    <row r="802" spans="13:15" x14ac:dyDescent="0.25">
      <c r="M802" s="126"/>
      <c r="N802" s="107"/>
      <c r="O802" s="126"/>
    </row>
    <row r="803" spans="13:15" x14ac:dyDescent="0.25">
      <c r="M803" s="126"/>
      <c r="N803" s="107"/>
      <c r="O803" s="126"/>
    </row>
    <row r="804" spans="13:15" x14ac:dyDescent="0.25">
      <c r="M804" s="126"/>
      <c r="N804" s="107"/>
      <c r="O804" s="126"/>
    </row>
    <row r="805" spans="13:15" x14ac:dyDescent="0.25">
      <c r="M805" s="126"/>
      <c r="N805" s="107"/>
      <c r="O805" s="126"/>
    </row>
    <row r="806" spans="13:15" x14ac:dyDescent="0.25">
      <c r="M806" s="126"/>
      <c r="N806" s="107"/>
      <c r="O806" s="126"/>
    </row>
    <row r="807" spans="13:15" x14ac:dyDescent="0.25">
      <c r="M807" s="126"/>
      <c r="N807" s="107"/>
      <c r="O807" s="126"/>
    </row>
    <row r="808" spans="13:15" x14ac:dyDescent="0.25">
      <c r="M808" s="126"/>
      <c r="N808" s="107"/>
      <c r="O808" s="126"/>
    </row>
    <row r="809" spans="13:15" x14ac:dyDescent="0.25">
      <c r="M809" s="126"/>
      <c r="N809" s="107"/>
      <c r="O809" s="126"/>
    </row>
    <row r="810" spans="13:15" x14ac:dyDescent="0.25">
      <c r="M810" s="126"/>
      <c r="N810" s="107"/>
      <c r="O810" s="126"/>
    </row>
  </sheetData>
  <sheetProtection sheet="1" objects="1" scenarios="1" selectLockedCells="1"/>
  <dataConsolidate/>
  <mergeCells count="7">
    <mergeCell ref="S2:T2"/>
    <mergeCell ref="A2:A4"/>
    <mergeCell ref="N2:O2"/>
    <mergeCell ref="N4:O4"/>
    <mergeCell ref="C2:D2"/>
    <mergeCell ref="C4:D4"/>
    <mergeCell ref="Q2:R2"/>
  </mergeCells>
  <conditionalFormatting sqref="A10:U1007">
    <cfRule type="expression" dxfId="3" priority="2">
      <formula>$B10=""</formula>
    </cfRule>
    <cfRule type="expression" dxfId="2" priority="3">
      <formula>$A10&lt;&gt;""</formula>
    </cfRule>
    <cfRule type="expression" dxfId="1" priority="4">
      <formula>$P10="Released"</formula>
    </cfRule>
  </conditionalFormatting>
  <conditionalFormatting sqref="A10:U1048576">
    <cfRule type="cellIs" dxfId="0" priority="1" operator="equal">
      <formula>0</formula>
    </cfRule>
  </conditionalFormatting>
  <dataValidations count="4">
    <dataValidation type="list" allowBlank="1" showInputMessage="1" showErrorMessage="1" sqref="C4" xr:uid="{50C9F84C-5612-4F6D-97CB-20EF9A274303}">
      <formula1>Suppliers</formula1>
    </dataValidation>
    <dataValidation type="list" allowBlank="1" showInputMessage="1" showErrorMessage="1" sqref="N2" xr:uid="{F0E854B7-4A71-4D18-AB20-EBF080D545F8}">
      <formula1>Analysis</formula1>
    </dataValidation>
    <dataValidation type="list" allowBlank="1" showInputMessage="1" showErrorMessage="1" sqref="N4" xr:uid="{47252F9C-F5E8-4969-A192-B270DA32C22D}">
      <formula1>Status</formula1>
    </dataValidation>
    <dataValidation type="list" allowBlank="1" showInputMessage="1" showErrorMessage="1" sqref="C2" xr:uid="{28FB2BB5-A56A-44D5-B505-D80D6A920CD2}">
      <formula1>Products</formula1>
    </dataValidation>
  </dataValidations>
  <pageMargins left="0.25" right="0.25" top="0.75" bottom="0.75" header="0.3" footer="0.3"/>
  <pageSetup paperSize="9" scale="69" orientation="landscape" r:id="rId1"/>
  <rowBreaks count="1" manualBreakCount="1">
    <brk id="6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57D3712-A1B5-4A87-B005-FD4033F5EA3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13</vt:i4>
      </vt:variant>
    </vt:vector>
  </HeadingPairs>
  <TitlesOfParts>
    <vt:vector size="21" baseType="lpstr">
      <vt:lpstr>2026</vt:lpstr>
      <vt:lpstr>2025</vt:lpstr>
      <vt:lpstr>2024</vt:lpstr>
      <vt:lpstr>2023</vt:lpstr>
      <vt:lpstr>List</vt:lpstr>
      <vt:lpstr>متبقى مرتجع شيح</vt:lpstr>
      <vt:lpstr>متبقى مرتجع بضائع</vt:lpstr>
      <vt:lpstr>Search Bar</vt:lpstr>
      <vt:lpstr>'Search Bar'!Analysis</vt:lpstr>
      <vt:lpstr>Analysis</vt:lpstr>
      <vt:lpstr>'Search Bar'!Packaging</vt:lpstr>
      <vt:lpstr>Packaging</vt:lpstr>
      <vt:lpstr>'Search Bar'!Print_Area</vt:lpstr>
      <vt:lpstr>'Search Bar'!Products</vt:lpstr>
      <vt:lpstr>Products</vt:lpstr>
      <vt:lpstr>'Search Bar'!Spec</vt:lpstr>
      <vt:lpstr>Spec</vt:lpstr>
      <vt:lpstr>'Search Bar'!Status</vt:lpstr>
      <vt:lpstr>Status</vt:lpstr>
      <vt:lpstr>'Search Bar'!Suppliers</vt:lpstr>
      <vt:lpstr>Suppliers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Fibe</dc:creator>
  <cp:lastModifiedBy>WIN-10</cp:lastModifiedBy>
  <cp:lastPrinted>2026-02-01T07:29:06Z</cp:lastPrinted>
  <dcterms:created xsi:type="dcterms:W3CDTF">2025-12-14T18:48:21Z</dcterms:created>
  <dcterms:modified xsi:type="dcterms:W3CDTF">2026-02-08T12:45:26Z</dcterms:modified>
</cp:coreProperties>
</file>